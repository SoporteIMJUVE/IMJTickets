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imjuventudgobmx-my.sharepoint.com/personal/soporte_imjuventud_gob_mx/Documents/"/>
    </mc:Choice>
  </mc:AlternateContent>
  <xr:revisionPtr revIDLastSave="0" documentId="8_{A09D4011-E753-441F-A703-0B20A6F410E8}" xr6:coauthVersionLast="47" xr6:coauthVersionMax="47" xr10:uidLastSave="{00000000-0000-0000-0000-000000000000}"/>
  <bookViews>
    <workbookView xWindow="-120" yWindow="-120" windowWidth="20730" windowHeight="11160" firstSheet="8" activeTab="8" xr2:uid="{67ED3662-B3D4-4B12-AA7B-D65164FD0FCD}"/>
  </bookViews>
  <sheets>
    <sheet name="RANGO" sheetId="1" r:id="rId1"/>
    <sheet name="DG" sheetId="2" r:id="rId2"/>
    <sheet name="DBEJ" sheetId="15" r:id="rId3"/>
    <sheet name="DIEJ" sheetId="16" r:id="rId4"/>
    <sheet name="DCSR" sheetId="24" r:id="rId5"/>
    <sheet name="DAJ" sheetId="20" r:id="rId6"/>
    <sheet name="DEC" sheetId="17" r:id="rId7"/>
    <sheet name="DF" sheetId="18" r:id="rId8"/>
    <sheet name="DRHM" sheetId="19" r:id="rId9"/>
    <sheet name="DCS" sheetId="25" r:id="rId10"/>
    <sheet name="OIC" sheetId="21" r:id="rId11"/>
    <sheet name="SS" sheetId="22" r:id="rId12"/>
    <sheet name="DATOS" sheetId="12" r:id="rId13"/>
    <sheet name="Configuraciones " sheetId="26" r:id="rId14"/>
  </sheets>
  <definedNames>
    <definedName name="_xlnm._FilterDatabase" localSheetId="9" hidden="1">DCS!$A$2:$AA$41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/>
  <c r="A1" i="24"/>
  <c r="A1" i="16"/>
  <c r="A1" i="15"/>
  <c r="A1" i="19"/>
  <c r="E11" i="1"/>
  <c r="E6" i="1"/>
  <c r="E23" i="21"/>
  <c r="F23" i="21"/>
  <c r="G23" i="21"/>
  <c r="H23" i="21"/>
  <c r="K13" i="1"/>
  <c r="I13" i="1"/>
  <c r="L13" i="1"/>
  <c r="J13" i="1"/>
  <c r="H13" i="1"/>
  <c r="G47" i="25"/>
  <c r="F47" i="25"/>
  <c r="E47" i="25"/>
  <c r="G44" i="25"/>
  <c r="J12" i="1"/>
  <c r="F44" i="25"/>
  <c r="I12" i="1"/>
  <c r="E44" i="25"/>
  <c r="H44" i="25"/>
  <c r="K12" i="1"/>
  <c r="M95" i="22"/>
  <c r="K95" i="22"/>
  <c r="G98" i="22"/>
  <c r="F98" i="22"/>
  <c r="E98" i="22"/>
  <c r="G95" i="22"/>
  <c r="J14" i="1"/>
  <c r="G64" i="16"/>
  <c r="J6" i="1"/>
  <c r="F95" i="22"/>
  <c r="I14" i="1"/>
  <c r="E95" i="22"/>
  <c r="H14" i="1"/>
  <c r="E64" i="16"/>
  <c r="M23" i="21"/>
  <c r="K23" i="21"/>
  <c r="G26" i="21"/>
  <c r="E26" i="21"/>
  <c r="F26" i="21"/>
  <c r="F27" i="20"/>
  <c r="A1" i="20"/>
  <c r="G46" i="25"/>
  <c r="F46" i="25"/>
  <c r="E46" i="25"/>
  <c r="M44" i="25"/>
  <c r="K44" i="25"/>
  <c r="M67" i="19"/>
  <c r="K67" i="19"/>
  <c r="F70" i="19"/>
  <c r="E70" i="19"/>
  <c r="G67" i="19"/>
  <c r="J10" i="1"/>
  <c r="F67" i="19"/>
  <c r="I10" i="1"/>
  <c r="E67" i="19"/>
  <c r="H10" i="1"/>
  <c r="H67" i="19"/>
  <c r="K10" i="1"/>
  <c r="E42" i="18"/>
  <c r="F42" i="18"/>
  <c r="F45" i="17"/>
  <c r="E45" i="17"/>
  <c r="G42" i="17"/>
  <c r="J8" i="1"/>
  <c r="E42" i="17"/>
  <c r="H8" i="1"/>
  <c r="E53" i="24"/>
  <c r="H7" i="1"/>
  <c r="E39" i="18"/>
  <c r="H9" i="1"/>
  <c r="E24" i="20"/>
  <c r="H11" i="1"/>
  <c r="G97" i="22"/>
  <c r="F97" i="22"/>
  <c r="E97" i="22"/>
  <c r="G25" i="21"/>
  <c r="F25" i="21"/>
  <c r="E25" i="21"/>
  <c r="G27" i="20"/>
  <c r="E27" i="20"/>
  <c r="G26" i="20"/>
  <c r="F26" i="20"/>
  <c r="E26" i="20"/>
  <c r="M24" i="20"/>
  <c r="K24" i="20"/>
  <c r="G24" i="20"/>
  <c r="J11" i="1"/>
  <c r="G53" i="24"/>
  <c r="J7" i="1"/>
  <c r="G39" i="18"/>
  <c r="J9" i="1"/>
  <c r="F24" i="20"/>
  <c r="I11" i="1"/>
  <c r="G70" i="19"/>
  <c r="G69" i="19"/>
  <c r="F69" i="19"/>
  <c r="E69" i="19"/>
  <c r="G42" i="18"/>
  <c r="G41" i="18"/>
  <c r="F41" i="18"/>
  <c r="E41" i="18"/>
  <c r="M39" i="18"/>
  <c r="K39" i="18"/>
  <c r="F39" i="18"/>
  <c r="I9" i="1"/>
  <c r="G45" i="17"/>
  <c r="G44" i="17"/>
  <c r="F44" i="17"/>
  <c r="E44" i="17"/>
  <c r="M42" i="17"/>
  <c r="K42" i="17"/>
  <c r="F42" i="17"/>
  <c r="I8" i="1"/>
  <c r="G56" i="24"/>
  <c r="F56" i="24"/>
  <c r="E56" i="24"/>
  <c r="G55" i="24"/>
  <c r="F55" i="24"/>
  <c r="E55" i="24"/>
  <c r="M53" i="24"/>
  <c r="K53" i="24"/>
  <c r="F53" i="24"/>
  <c r="I7" i="1"/>
  <c r="G67" i="16"/>
  <c r="F67" i="16"/>
  <c r="E67" i="16"/>
  <c r="G66" i="16"/>
  <c r="F66" i="16"/>
  <c r="E66" i="16"/>
  <c r="M64" i="16"/>
  <c r="K64" i="16"/>
  <c r="F64" i="16"/>
  <c r="H64" i="16"/>
  <c r="K6" i="1"/>
  <c r="I6" i="1"/>
  <c r="G92" i="15"/>
  <c r="F92" i="15"/>
  <c r="E92" i="15"/>
  <c r="G91" i="15"/>
  <c r="F91" i="15"/>
  <c r="E91" i="15"/>
  <c r="M89" i="15"/>
  <c r="K89" i="15"/>
  <c r="G89" i="15"/>
  <c r="J5" i="1"/>
  <c r="J15" i="1"/>
  <c r="F89" i="15"/>
  <c r="I5" i="1"/>
  <c r="E89" i="15"/>
  <c r="G23" i="2"/>
  <c r="F23" i="2"/>
  <c r="E23" i="2"/>
  <c r="G22" i="2"/>
  <c r="F22" i="2"/>
  <c r="E22" i="2"/>
  <c r="M20" i="2"/>
  <c r="K20" i="2"/>
  <c r="G20" i="2"/>
  <c r="J4" i="1"/>
  <c r="F20" i="2"/>
  <c r="I4" i="1"/>
  <c r="E20" i="2"/>
  <c r="H4" i="1"/>
  <c r="A1" i="2"/>
  <c r="E14" i="1"/>
  <c r="A1" i="22"/>
  <c r="E13" i="1"/>
  <c r="A1" i="21"/>
  <c r="E12" i="1"/>
  <c r="A1" i="25"/>
  <c r="E10" i="1"/>
  <c r="E9" i="1"/>
  <c r="E8" i="1"/>
  <c r="A1" i="17"/>
  <c r="E7" i="1"/>
  <c r="E5" i="1"/>
  <c r="H95" i="22"/>
  <c r="K14" i="1"/>
  <c r="H20" i="2"/>
  <c r="K4" i="1"/>
  <c r="L4" i="1"/>
  <c r="H39" i="18"/>
  <c r="K9" i="1"/>
  <c r="L9" i="1"/>
  <c r="H42" i="17"/>
  <c r="K8" i="1"/>
  <c r="L12" i="1"/>
  <c r="H12" i="1"/>
  <c r="L14" i="1"/>
  <c r="L10" i="1"/>
  <c r="L8" i="1"/>
  <c r="H24" i="20"/>
  <c r="K11" i="1"/>
  <c r="L11" i="1"/>
  <c r="H53" i="24"/>
  <c r="K7" i="1"/>
  <c r="L7" i="1"/>
  <c r="L6" i="1"/>
  <c r="H6" i="1"/>
  <c r="H89" i="15"/>
  <c r="K5" i="1"/>
  <c r="L5" i="1"/>
  <c r="I15" i="1"/>
  <c r="H5" i="1"/>
  <c r="H15" i="1"/>
  <c r="K15" i="1"/>
  <c r="L15" i="1"/>
</calcChain>
</file>

<file path=xl/sharedStrings.xml><?xml version="1.0" encoding="utf-8"?>
<sst xmlns="http://schemas.openxmlformats.org/spreadsheetml/2006/main" count="6636" uniqueCount="1138">
  <si>
    <t>RANGO IP DE LAS AREAS DEL IMJUVE</t>
  </si>
  <si>
    <t>ÁREA DE ASIGNACIÓN</t>
  </si>
  <si>
    <t>RANGO DE IP´S</t>
  </si>
  <si>
    <t>LIBRES</t>
  </si>
  <si>
    <t>OCUPADAS</t>
  </si>
  <si>
    <t>EN CONFLICTO</t>
  </si>
  <si>
    <t>TOTAL, DE IP´S</t>
  </si>
  <si>
    <t>% USADO</t>
  </si>
  <si>
    <t/>
  </si>
  <si>
    <t>DIRECCIÓN GENERAL</t>
  </si>
  <si>
    <t>172.17.0.5</t>
  </si>
  <si>
    <t>172.17.0.18</t>
  </si>
  <si>
    <t>172.17.0.19</t>
  </si>
  <si>
    <t>172.17.0.99</t>
  </si>
  <si>
    <t>172.17.0.100</t>
  </si>
  <si>
    <t>172.17.0.157</t>
  </si>
  <si>
    <t>172.17.0.158</t>
  </si>
  <si>
    <t>172.17.0.205</t>
  </si>
  <si>
    <t>172.17.0.206</t>
  </si>
  <si>
    <t>172.17.0.242</t>
  </si>
  <si>
    <t>172.17.0.243</t>
  </si>
  <si>
    <t>172.17.1.22</t>
  </si>
  <si>
    <t>172.17.1.23</t>
  </si>
  <si>
    <t>172.17.1.84</t>
  </si>
  <si>
    <t>172.17.1.85</t>
  </si>
  <si>
    <t>172.17.1.103</t>
  </si>
  <si>
    <t>172.17.1.104</t>
  </si>
  <si>
    <t>172.17.1.142</t>
  </si>
  <si>
    <t>172.17.1.143</t>
  </si>
  <si>
    <t>172.17.1.160</t>
  </si>
  <si>
    <t>172.17.1.161</t>
  </si>
  <si>
    <t>172.17.1.250</t>
  </si>
  <si>
    <t>Totales</t>
  </si>
  <si>
    <t>No.</t>
  </si>
  <si>
    <t>IP</t>
  </si>
  <si>
    <t>Usuario o nombre del propietario</t>
  </si>
  <si>
    <t>Tipo de 
equipo</t>
  </si>
  <si>
    <t>Institucional o 
Personal</t>
  </si>
  <si>
    <t>Marca</t>
  </si>
  <si>
    <t>modelo</t>
  </si>
  <si>
    <t>Número de 
Serie</t>
  </si>
  <si>
    <t>MAC</t>
  </si>
  <si>
    <t>Tipo de 
Conexión</t>
  </si>
  <si>
    <t>Confguración de red</t>
  </si>
  <si>
    <t>Área</t>
  </si>
  <si>
    <t>Restricciones</t>
  </si>
  <si>
    <t>YOUTUBE</t>
  </si>
  <si>
    <t>VIMEO</t>
  </si>
  <si>
    <t>SPOTIFY</t>
  </si>
  <si>
    <t>OTRO STREAMING</t>
  </si>
  <si>
    <t>FACEBOOK</t>
  </si>
  <si>
    <t>TIK TOK</t>
  </si>
  <si>
    <t>INSTAGRAM</t>
  </si>
  <si>
    <t>WHATSAPP WEB</t>
  </si>
  <si>
    <t>OTRA RED SOCIAL</t>
  </si>
  <si>
    <t>SITIOS GUBERNAMENTALES</t>
  </si>
  <si>
    <t>NOTICIAS</t>
  </si>
  <si>
    <t>OTRO</t>
  </si>
  <si>
    <t>Estatus</t>
  </si>
  <si>
    <t>OBSERVACIONES</t>
  </si>
  <si>
    <t>xgranados</t>
  </si>
  <si>
    <t>LAP</t>
  </si>
  <si>
    <t>Personal</t>
  </si>
  <si>
    <t>/</t>
  </si>
  <si>
    <t xml:space="preserve"> 94-E2-3C-26-8D-74</t>
  </si>
  <si>
    <t>INALÁMBRICO</t>
  </si>
  <si>
    <t xml:space="preserve">MANUAL </t>
  </si>
  <si>
    <t>DRHM</t>
  </si>
  <si>
    <t>Con/Rest</t>
  </si>
  <si>
    <t>Sí</t>
  </si>
  <si>
    <t>NO</t>
  </si>
  <si>
    <t>s</t>
  </si>
  <si>
    <t>SI</t>
  </si>
  <si>
    <t>Ocupada</t>
  </si>
  <si>
    <t>cambiar a DRHM</t>
  </si>
  <si>
    <t>172.17.0.6</t>
  </si>
  <si>
    <t>Karla Perez</t>
  </si>
  <si>
    <t>MACBOOK</t>
  </si>
  <si>
    <t>Sin/Rest</t>
  </si>
  <si>
    <t>172.17.0.7</t>
  </si>
  <si>
    <t>NROSALES</t>
  </si>
  <si>
    <t>PC</t>
  </si>
  <si>
    <t>Institucional</t>
  </si>
  <si>
    <t>DELL</t>
  </si>
  <si>
    <t>OPTIPLEX 3080</t>
  </si>
  <si>
    <t xml:space="preserve"> /</t>
  </si>
  <si>
    <t>B0-4F-13-01-B1-B2</t>
  </si>
  <si>
    <t>ALÁMBRICO</t>
  </si>
  <si>
    <t>DHCP</t>
  </si>
  <si>
    <t>DG</t>
  </si>
  <si>
    <t>No</t>
  </si>
  <si>
    <t>172.17.0.8</t>
  </si>
  <si>
    <t>CEL</t>
  </si>
  <si>
    <t>172.17.0.9</t>
  </si>
  <si>
    <t>DG_Abraham</t>
  </si>
  <si>
    <t>latitude3420</t>
  </si>
  <si>
    <t>14:85:7F:FF:F1:4F</t>
  </si>
  <si>
    <t>172.17.0.10</t>
  </si>
  <si>
    <t>stecnica</t>
  </si>
  <si>
    <t>OPTIPLEX 7090</t>
  </si>
  <si>
    <t>D0:8E:79:05:23:B6</t>
  </si>
  <si>
    <t>ST</t>
  </si>
  <si>
    <t>172.17.0.11</t>
  </si>
  <si>
    <t>172.17.0.12</t>
  </si>
  <si>
    <t>Alexa_DG</t>
  </si>
  <si>
    <t>ALEXA</t>
  </si>
  <si>
    <t>Echoshow 5</t>
  </si>
  <si>
    <t>B0:4F:13:01:B1:B2</t>
  </si>
  <si>
    <t>172.17.0.13</t>
  </si>
  <si>
    <t xml:space="preserve"> pendiente</t>
  </si>
  <si>
    <t>Libre</t>
  </si>
  <si>
    <t>172.17.0.14</t>
  </si>
  <si>
    <t>Arely Lira</t>
  </si>
  <si>
    <t>172.17.0.15</t>
  </si>
  <si>
    <t>invitadodg</t>
  </si>
  <si>
    <t>172.17.0.16</t>
  </si>
  <si>
    <t>ARODRIGUEZ</t>
  </si>
  <si>
    <t>DAJ</t>
  </si>
  <si>
    <t>172.17.0.17</t>
  </si>
  <si>
    <t>Ma. Lourdes</t>
  </si>
  <si>
    <t>ASUS</t>
  </si>
  <si>
    <t>DF</t>
  </si>
  <si>
    <t>IP´s</t>
  </si>
  <si>
    <t>LIBRE</t>
  </si>
  <si>
    <t>OCUPADA</t>
  </si>
  <si>
    <t>CONFLICTO</t>
  </si>
  <si>
    <t>TOTAL</t>
  </si>
  <si>
    <t>Con restricciones</t>
  </si>
  <si>
    <t>Sin restricciones</t>
  </si>
  <si>
    <t>CONEXIONES</t>
  </si>
  <si>
    <t>REGRESAR A LA PESTALLA PRINCIPAL</t>
  </si>
  <si>
    <t>EQUIPOS</t>
  </si>
  <si>
    <t>PERSONALES</t>
  </si>
  <si>
    <t>INSTITUCIONALES</t>
  </si>
  <si>
    <t>Miguel Vigilancia</t>
  </si>
  <si>
    <t>OPPO</t>
  </si>
  <si>
    <t>172.17.0.20</t>
  </si>
  <si>
    <t>natalia ss</t>
  </si>
  <si>
    <t>APPLE</t>
  </si>
  <si>
    <t>172.17.0.21</t>
  </si>
  <si>
    <t>Ivan Alejandro</t>
  </si>
  <si>
    <t>172.17.0.22</t>
  </si>
  <si>
    <t>Jose Luis Morales</t>
  </si>
  <si>
    <t>172.17.0.23</t>
  </si>
  <si>
    <t>Vigilancia</t>
  </si>
  <si>
    <t>XIAOMI</t>
  </si>
  <si>
    <t>172.17.0.24</t>
  </si>
  <si>
    <t>NORMA TORRES</t>
  </si>
  <si>
    <t>CS</t>
  </si>
  <si>
    <t>172.17.0.25</t>
  </si>
  <si>
    <t>Xavier Romero</t>
  </si>
  <si>
    <t>HP</t>
  </si>
  <si>
    <t>DBEJ</t>
  </si>
  <si>
    <t>172.17.0.26</t>
  </si>
  <si>
    <t xml:space="preserve">Servicio Social </t>
  </si>
  <si>
    <t>TABLET</t>
  </si>
  <si>
    <t>172.17.0.27</t>
  </si>
  <si>
    <t>Victor Hugo Escobar</t>
  </si>
  <si>
    <t>172.17.0.28</t>
  </si>
  <si>
    <t>Maria_CERRANO</t>
  </si>
  <si>
    <t>Finanzas</t>
  </si>
  <si>
    <t>172.17.0.29</t>
  </si>
  <si>
    <t>Silvia Rodriguez</t>
  </si>
  <si>
    <t>172.17.0.30</t>
  </si>
  <si>
    <t>Daniela Arenas</t>
  </si>
  <si>
    <t xml:space="preserve"> 94-E2-3C-26-45-03</t>
  </si>
  <si>
    <t>Sequidad Finanzas</t>
  </si>
  <si>
    <t>172.17.0.31</t>
  </si>
  <si>
    <t>172.17.0.32</t>
  </si>
  <si>
    <t>Servicio Social</t>
  </si>
  <si>
    <t>172.17.0.33</t>
  </si>
  <si>
    <t>172.17.0.34</t>
  </si>
  <si>
    <t xml:space="preserve"> ELAP-SEQUIDAD4</t>
  </si>
  <si>
    <t xml:space="preserve"> /  </t>
  </si>
  <si>
    <t xml:space="preserve"> 94-E2-3C-26-80-40</t>
  </si>
  <si>
    <t>172.17.0.35</t>
  </si>
  <si>
    <t>Emiliano Pérez</t>
  </si>
  <si>
    <t>VivoBook</t>
  </si>
  <si>
    <t xml:space="preserve">Investigación </t>
  </si>
  <si>
    <t>172.17.0.36</t>
  </si>
  <si>
    <t xml:space="preserve">   ELAP-SEQUIDAD1</t>
  </si>
  <si>
    <t>94-E2-3C-05-04-6A</t>
  </si>
  <si>
    <t>172.17.0.37</t>
  </si>
  <si>
    <t>mjuan</t>
  </si>
  <si>
    <t>8SLGW93</t>
  </si>
  <si>
    <t>94-E2-3C-26-44-E0</t>
  </si>
  <si>
    <t>172.17.0.38</t>
  </si>
  <si>
    <t>mgarcia</t>
  </si>
  <si>
    <t>SAMSUNG</t>
  </si>
  <si>
    <t>R9PT103XNFN</t>
  </si>
  <si>
    <t>48:61:ee:17:07:61</t>
  </si>
  <si>
    <t>172.17.0.39</t>
  </si>
  <si>
    <t>nmosco</t>
  </si>
  <si>
    <t>EC-63-D7-CF-B0-61</t>
  </si>
  <si>
    <t>DIEJ</t>
  </si>
  <si>
    <t>no</t>
  </si>
  <si>
    <t>Recursos Humanos</t>
  </si>
  <si>
    <t>172.17.0.40</t>
  </si>
  <si>
    <t>Juan</t>
  </si>
  <si>
    <t>94-E2-3C-01-B9-DB</t>
  </si>
  <si>
    <t>172.17.0.41</t>
  </si>
  <si>
    <t>172.17.0.42</t>
  </si>
  <si>
    <t>ARTURO ISRAEL GARCIA LUNA</t>
  </si>
  <si>
    <t>172.17.0.43</t>
  </si>
  <si>
    <t>172.17.0.44</t>
  </si>
  <si>
    <t>Jesús</t>
  </si>
  <si>
    <t>FRNGW93</t>
  </si>
  <si>
    <t>94:E2:3C:02:3C:DF</t>
  </si>
  <si>
    <t>172.17.0.45</t>
  </si>
  <si>
    <t>José Saucedo (s.s)</t>
  </si>
  <si>
    <t>172.17.0.46</t>
  </si>
  <si>
    <t xml:space="preserve"> ELAP-TJOVEN2</t>
  </si>
  <si>
    <t>94-E2-3C-01-DF-60</t>
  </si>
  <si>
    <t>172.17.0.47</t>
  </si>
  <si>
    <t>Cristian Flores León</t>
  </si>
  <si>
    <t>LENOVO</t>
  </si>
  <si>
    <t>172.17.0.48</t>
  </si>
  <si>
    <t>172.17.0.49</t>
  </si>
  <si>
    <t>Hector Ernesto</t>
  </si>
  <si>
    <t>172.17.0.50</t>
  </si>
  <si>
    <t>172.17.0.51</t>
  </si>
  <si>
    <t>gabriela gaviño</t>
  </si>
  <si>
    <t>172.17.0.52</t>
  </si>
  <si>
    <t>mgarcía</t>
  </si>
  <si>
    <t>OPTIPLEX</t>
  </si>
  <si>
    <t>Secretaría técnica</t>
  </si>
  <si>
    <t>172.17.0.53</t>
  </si>
  <si>
    <t>elap-nponce (Saul Climaco)</t>
  </si>
  <si>
    <t>94:E2:3C:01:BA:49</t>
  </si>
  <si>
    <t>172.17.0.54</t>
  </si>
  <si>
    <t>José Luis Morales Rivera</t>
  </si>
  <si>
    <t>Morgue</t>
  </si>
  <si>
    <t>172.17.0.55</t>
  </si>
  <si>
    <t>Nueva Arely</t>
  </si>
  <si>
    <t>172.17.0.56</t>
  </si>
  <si>
    <t>Isaac</t>
  </si>
  <si>
    <t>172.17.0.57</t>
  </si>
  <si>
    <t>Luis Antonio</t>
  </si>
  <si>
    <t>172.17.0.58</t>
  </si>
  <si>
    <t>172.17.0.59</t>
  </si>
  <si>
    <t>lelorza</t>
  </si>
  <si>
    <t>8D80FF3</t>
  </si>
  <si>
    <t>B0:4F:13:01:B2:96</t>
  </si>
  <si>
    <t>172.17.0.60</t>
  </si>
  <si>
    <t>172.17.0.61</t>
  </si>
  <si>
    <t>HAZEL SANTOS</t>
  </si>
  <si>
    <t>DCS</t>
  </si>
  <si>
    <t>172.17.0.62</t>
  </si>
  <si>
    <t>Fernanda Mossso</t>
  </si>
  <si>
    <t>172.17.0.63</t>
  </si>
  <si>
    <t>Trans_isabel</t>
  </si>
  <si>
    <t>mac:00:ca:e0:54:be:bb</t>
  </si>
  <si>
    <t>172.17.0.64</t>
  </si>
  <si>
    <t>Juan (ss)</t>
  </si>
  <si>
    <t>172.17.0.65</t>
  </si>
  <si>
    <t>172.17.0.66</t>
  </si>
  <si>
    <t>Eduardo Hernandez SS</t>
  </si>
  <si>
    <t>172.17.0.67</t>
  </si>
  <si>
    <t>172.17.0.68</t>
  </si>
  <si>
    <t>mrebollar</t>
  </si>
  <si>
    <t>8D93FF3</t>
  </si>
  <si>
    <t>B0-4F-13-01-B3-D2</t>
  </si>
  <si>
    <t>172.17.0.69</t>
  </si>
  <si>
    <t>ycruz</t>
  </si>
  <si>
    <t>14-85-7F-FF-02-62</t>
  </si>
  <si>
    <t>172.17.0.70</t>
  </si>
  <si>
    <t>Itzel</t>
  </si>
  <si>
    <t>172.17.0.71</t>
  </si>
  <si>
    <t>Itzel Celular</t>
  </si>
  <si>
    <t>172.17.0.72</t>
  </si>
  <si>
    <t>172.17.0.73</t>
  </si>
  <si>
    <t>Yessenia Camacho</t>
  </si>
  <si>
    <t>172.17.0.74</t>
  </si>
  <si>
    <t>Gama (ss)</t>
  </si>
  <si>
    <t>172.17.0.75</t>
  </si>
  <si>
    <t>172.17.0.76</t>
  </si>
  <si>
    <t>Armando Montiel</t>
  </si>
  <si>
    <t>172.17.0.77</t>
  </si>
  <si>
    <t>172.17.0.78</t>
  </si>
  <si>
    <t>Equidad 7</t>
  </si>
  <si>
    <t>172.17.0.79</t>
  </si>
  <si>
    <t>172.17.0.80</t>
  </si>
  <si>
    <t>Servicio social Bienestar</t>
  </si>
  <si>
    <t>172.17.0.81</t>
  </si>
  <si>
    <t>172.17.0.82</t>
  </si>
  <si>
    <t>Jorge Ferreira</t>
  </si>
  <si>
    <t>172.17.0.83</t>
  </si>
  <si>
    <t>chico computadora rosa</t>
  </si>
  <si>
    <t>172.17.0.84</t>
  </si>
  <si>
    <t>Victor Manuel Bautista</t>
  </si>
  <si>
    <t>172.17.0.85</t>
  </si>
  <si>
    <t>172.17.0.86</t>
  </si>
  <si>
    <t>172.17.0.87</t>
  </si>
  <si>
    <t>Santiago Peralta</t>
  </si>
  <si>
    <t>172.17.0.88</t>
  </si>
  <si>
    <t>172.17.0.89</t>
  </si>
  <si>
    <t>Nave</t>
  </si>
  <si>
    <t>172.17.0.90</t>
  </si>
  <si>
    <t>Norma Villareal</t>
  </si>
  <si>
    <t>172.17.0.91</t>
  </si>
  <si>
    <t>Arely nueva</t>
  </si>
  <si>
    <t>172.17.0.92</t>
  </si>
  <si>
    <t>172.17.0.93</t>
  </si>
  <si>
    <t>Berenice</t>
  </si>
  <si>
    <t>Investigación</t>
  </si>
  <si>
    <t>172.17.0.94</t>
  </si>
  <si>
    <t>Comunicación</t>
  </si>
  <si>
    <t>172.17.0.95</t>
  </si>
  <si>
    <t>Carlos Arturo</t>
  </si>
  <si>
    <t>172.17.0.96</t>
  </si>
  <si>
    <t>Maria Pilar (Limpieza)</t>
  </si>
  <si>
    <t>172.17.0.97</t>
  </si>
  <si>
    <t>JCHAVIRA</t>
  </si>
  <si>
    <t>X</t>
  </si>
  <si>
    <t>172.17.0.98</t>
  </si>
  <si>
    <t>Luis zavala</t>
  </si>
  <si>
    <t>PORTALES DE NOTICIAS</t>
  </si>
  <si>
    <t>Jose Valencia  (Limpieza)</t>
  </si>
  <si>
    <t xml:space="preserve">Axel </t>
  </si>
  <si>
    <t>latitude</t>
  </si>
  <si>
    <t>172.17.0.101</t>
  </si>
  <si>
    <t>172.17.0.102</t>
  </si>
  <si>
    <t>172.17.0.103</t>
  </si>
  <si>
    <t>zgarcia</t>
  </si>
  <si>
    <t>172.17.0.104</t>
  </si>
  <si>
    <t>172.17.0.105</t>
  </si>
  <si>
    <t>cambio</t>
  </si>
  <si>
    <t xml:space="preserve">OPTIPLEX 3080 </t>
  </si>
  <si>
    <t>Zoom</t>
  </si>
  <si>
    <t>finanzas</t>
  </si>
  <si>
    <t>172.17.0.106</t>
  </si>
  <si>
    <t>Joaquin Adres Chavira</t>
  </si>
  <si>
    <t>172.17.0.107</t>
  </si>
  <si>
    <t>lrangel</t>
  </si>
  <si>
    <t>172.17.0.108</t>
  </si>
  <si>
    <t>172.17.0.109</t>
  </si>
  <si>
    <t>fausto martinez SS</t>
  </si>
  <si>
    <t>172.17.0.110</t>
  </si>
  <si>
    <t>Servicio Social Karla</t>
  </si>
  <si>
    <t>elitebook 840 GS</t>
  </si>
  <si>
    <t>00330-51813-83560-AAOEM</t>
  </si>
  <si>
    <t>172.17.0.111</t>
  </si>
  <si>
    <t>Citlali Carolina SS</t>
  </si>
  <si>
    <t>172.17.0.112</t>
  </si>
  <si>
    <t>jcontreras</t>
  </si>
  <si>
    <t>172.17.0.113</t>
  </si>
  <si>
    <t>emiliano perez  SS</t>
  </si>
  <si>
    <t>172.17.0.114</t>
  </si>
  <si>
    <t>Servicio Social Pamela Guerrero (Arely)</t>
  </si>
  <si>
    <t>iphone 15</t>
  </si>
  <si>
    <t>HL02FMH2JY</t>
  </si>
  <si>
    <t>172.17.0.115</t>
  </si>
  <si>
    <t>172.17.0.116</t>
  </si>
  <si>
    <t>Uriel Jarquin</t>
  </si>
  <si>
    <t>Macbook</t>
  </si>
  <si>
    <t>172.17.0.117</t>
  </si>
  <si>
    <t>172.17.0.118</t>
  </si>
  <si>
    <t>Callcenter</t>
  </si>
  <si>
    <t>172.17.0.119</t>
  </si>
  <si>
    <t>172.17.0.120</t>
  </si>
  <si>
    <t>Posiblemente el Servidor del dns</t>
  </si>
  <si>
    <t>172.17.0.121</t>
  </si>
  <si>
    <t>172.17.0.122</t>
  </si>
  <si>
    <t>172.17.0.123</t>
  </si>
  <si>
    <t>172.17.0.124</t>
  </si>
  <si>
    <t>172.17.0.125</t>
  </si>
  <si>
    <t>172.17.0.126</t>
  </si>
  <si>
    <t>ANA PATRICIA/ IPAD/CEL SS</t>
  </si>
  <si>
    <t>172.17.0.127</t>
  </si>
  <si>
    <t>AARON SS</t>
  </si>
  <si>
    <t>172.17.0.128</t>
  </si>
  <si>
    <t>172.17.0.129</t>
  </si>
  <si>
    <t>Uriel Macbook air</t>
  </si>
  <si>
    <t>172.17.0.130</t>
  </si>
  <si>
    <t>172.17.0.131</t>
  </si>
  <si>
    <t>Eduardo Vargas</t>
  </si>
  <si>
    <t>172.17.0.132</t>
  </si>
  <si>
    <t>Juan de Dios Garcia</t>
  </si>
  <si>
    <t>172.17.0.133</t>
  </si>
  <si>
    <t>172.17.0.134</t>
  </si>
  <si>
    <t>172.17.0.135</t>
  </si>
  <si>
    <t>172.17.0.136</t>
  </si>
  <si>
    <t>Karla Olvera Alvarado</t>
  </si>
  <si>
    <t>172.17.0.137</t>
  </si>
  <si>
    <t>172.17.0.138</t>
  </si>
  <si>
    <t>172.17.0.139</t>
  </si>
  <si>
    <t>Edivaldo Cruz</t>
  </si>
  <si>
    <t>172.17.0.140</t>
  </si>
  <si>
    <t>172.17.0.141</t>
  </si>
  <si>
    <t> </t>
  </si>
  <si>
    <t>172.17.0.142</t>
  </si>
  <si>
    <t>Emiliano Morales</t>
  </si>
  <si>
    <t>172.17.0.143</t>
  </si>
  <si>
    <t>Flores Evelyn</t>
  </si>
  <si>
    <t>172.17.0.144</t>
  </si>
  <si>
    <t>Flores Morales</t>
  </si>
  <si>
    <t>iphone 16</t>
  </si>
  <si>
    <t>172.17.0.145</t>
  </si>
  <si>
    <t>172.17.0.146</t>
  </si>
  <si>
    <t>Diego Silis</t>
  </si>
  <si>
    <t>ocupada</t>
  </si>
  <si>
    <t>172.17.0.147</t>
  </si>
  <si>
    <t>172.17.0.148</t>
  </si>
  <si>
    <t>Verónica Sánchez</t>
  </si>
  <si>
    <t>172.17.0.149</t>
  </si>
  <si>
    <t>172.17.0.150</t>
  </si>
  <si>
    <t>172.17.0.151</t>
  </si>
  <si>
    <t>Servicio social</t>
  </si>
  <si>
    <t>172.17.0.152</t>
  </si>
  <si>
    <t>172.17.0.153</t>
  </si>
  <si>
    <t>Aaron</t>
  </si>
  <si>
    <t>RH</t>
  </si>
  <si>
    <t>172.17.0.154</t>
  </si>
  <si>
    <t>172.17.0.155</t>
  </si>
  <si>
    <t>172.17.0.156</t>
  </si>
  <si>
    <t>csixto</t>
  </si>
  <si>
    <t>cel</t>
  </si>
  <si>
    <t>agalindo</t>
  </si>
  <si>
    <t>4RLGW93</t>
  </si>
  <si>
    <t>94:E2:3C:25:62:6E</t>
  </si>
  <si>
    <t>DCSR</t>
  </si>
  <si>
    <t>172.17.0.159</t>
  </si>
  <si>
    <t>omar sumaya</t>
  </si>
  <si>
    <t>172.17.0.160</t>
  </si>
  <si>
    <t>172.17.0.161</t>
  </si>
  <si>
    <t>cgalindo</t>
  </si>
  <si>
    <t>14-85-7F-FF-CB-D4</t>
  </si>
  <si>
    <t>172.17.0.162</t>
  </si>
  <si>
    <t>Yoceline Tablet</t>
  </si>
  <si>
    <t>HUAWEI</t>
  </si>
  <si>
    <t>172.17.0.163</t>
  </si>
  <si>
    <t xml:space="preserve"> ELAP-LYESCA</t>
  </si>
  <si>
    <t>94-E2-3C-00-CC-7E</t>
  </si>
  <si>
    <t>172.17.0.164</t>
  </si>
  <si>
    <t>Patricia</t>
  </si>
  <si>
    <t>172.17.0.165</t>
  </si>
  <si>
    <t>Federico Vidal</t>
  </si>
  <si>
    <t>172.17.0.166</t>
  </si>
  <si>
    <t>sofia acevedo</t>
  </si>
  <si>
    <t>172.17.0.167</t>
  </si>
  <si>
    <t>Diego silis</t>
  </si>
  <si>
    <t>172.17.0.168</t>
  </si>
  <si>
    <t>ELAP-GTORRES</t>
  </si>
  <si>
    <t>94-E2-3C-00-41-3C</t>
  </si>
  <si>
    <t>OIC</t>
  </si>
  <si>
    <t>172.17.0.169</t>
  </si>
  <si>
    <t>emiliano</t>
  </si>
  <si>
    <t>desktop-1qlsljr</t>
  </si>
  <si>
    <t>172.17.0.170</t>
  </si>
  <si>
    <t>Karen Ramírez (Servicio Social)</t>
  </si>
  <si>
    <t>172.17.0.171</t>
  </si>
  <si>
    <t>psandoval / Invitado</t>
  </si>
  <si>
    <t>8D5YDF3</t>
  </si>
  <si>
    <t>B0-4F-13-01-AF-AF</t>
  </si>
  <si>
    <t>172.17.0.172</t>
  </si>
  <si>
    <t>hmartinez</t>
  </si>
  <si>
    <t>8MMWDF3</t>
  </si>
  <si>
    <t>B0-4F-13-00-FA-81</t>
  </si>
  <si>
    <t>172.17.0.173</t>
  </si>
  <si>
    <t xml:space="preserve">bulloa </t>
  </si>
  <si>
    <t>172.17.0.174</t>
  </si>
  <si>
    <t>172.17.0.175</t>
  </si>
  <si>
    <t>Edith G. Pérez</t>
  </si>
  <si>
    <t>172.17.0.176</t>
  </si>
  <si>
    <t>172.17.0.177</t>
  </si>
  <si>
    <t>172.17.0.178</t>
  </si>
  <si>
    <t>172.17.0.179</t>
  </si>
  <si>
    <t xml:space="preserve">Eduardo Hernandez </t>
  </si>
  <si>
    <t>172.17.0.180</t>
  </si>
  <si>
    <t>172.17.0.181</t>
  </si>
  <si>
    <t>172.17.0.182</t>
  </si>
  <si>
    <t>172.17.0.183</t>
  </si>
  <si>
    <t>Areli DG</t>
  </si>
  <si>
    <t>172.17.0.184</t>
  </si>
  <si>
    <t>172.17.0.185</t>
  </si>
  <si>
    <t>172.17.0.186</t>
  </si>
  <si>
    <t>Fernando Quiñales Servicio Social</t>
  </si>
  <si>
    <t>172.17.0.187</t>
  </si>
  <si>
    <t>Kevin Gabriel</t>
  </si>
  <si>
    <t>172.17.0.188</t>
  </si>
  <si>
    <t>172.17.0.189</t>
  </si>
  <si>
    <t>172.17.0.190</t>
  </si>
  <si>
    <t>Evelyn SS</t>
  </si>
  <si>
    <t>172.17.0.191</t>
  </si>
  <si>
    <t>172.17.0.192</t>
  </si>
  <si>
    <t>Sofia Garcia Servicio Social</t>
  </si>
  <si>
    <t>172.17.0.193</t>
  </si>
  <si>
    <t>172.17.0.194</t>
  </si>
  <si>
    <t>172.17.0.195</t>
  </si>
  <si>
    <t>172.17.0.196</t>
  </si>
  <si>
    <t>172.17.0.197</t>
  </si>
  <si>
    <t>172.17.0.198</t>
  </si>
  <si>
    <t>172.17.0.199</t>
  </si>
  <si>
    <t>172.17.0.200</t>
  </si>
  <si>
    <t>172.17.0.201</t>
  </si>
  <si>
    <t>172.17.0.202</t>
  </si>
  <si>
    <t>172.17.0.203</t>
  </si>
  <si>
    <t>172.17.0.204</t>
  </si>
  <si>
    <t>Karla Alvarado</t>
  </si>
  <si>
    <t>Yocelin</t>
  </si>
  <si>
    <t>D9KGW93</t>
  </si>
  <si>
    <t>14:85:7F:FF:D8:90</t>
  </si>
  <si>
    <t>172.17.1.86</t>
  </si>
  <si>
    <t>172.17.1.87</t>
  </si>
  <si>
    <t>Coordinación sectorial</t>
  </si>
  <si>
    <t>172.17.1.88</t>
  </si>
  <si>
    <t>172.17.1.89</t>
  </si>
  <si>
    <t>arodriguez</t>
  </si>
  <si>
    <t>8D82FF3</t>
  </si>
  <si>
    <t>172.17.1.90</t>
  </si>
  <si>
    <t>EPC-ECAMARGO</t>
  </si>
  <si>
    <t>B0-4F-13-01-AA-2A</t>
  </si>
  <si>
    <t>172.17.1.91</t>
  </si>
  <si>
    <t>172.17.1.92</t>
  </si>
  <si>
    <t>AMartinez</t>
  </si>
  <si>
    <t>pc</t>
  </si>
  <si>
    <t>172.17.1.93</t>
  </si>
  <si>
    <t>172.17.1.94</t>
  </si>
  <si>
    <t>172.17.1.95</t>
  </si>
  <si>
    <t>172.17.1.96</t>
  </si>
  <si>
    <t>172.17.1.97</t>
  </si>
  <si>
    <t>MARCELA HUERTA</t>
  </si>
  <si>
    <t>172.17.1.98</t>
  </si>
  <si>
    <t>172.17.1.99</t>
  </si>
  <si>
    <t>172.17.1.100</t>
  </si>
  <si>
    <t>Lsanchez</t>
  </si>
  <si>
    <t>lap</t>
  </si>
  <si>
    <t xml:space="preserve"> MACBOOKAIR-568D</t>
  </si>
  <si>
    <t>2A-F2-AD-45-88-82</t>
  </si>
  <si>
    <t>172.17.1.101</t>
  </si>
  <si>
    <t>172.17.1.102</t>
  </si>
  <si>
    <t>172.17.0.207</t>
  </si>
  <si>
    <t>172.17.0.208</t>
  </si>
  <si>
    <t>call</t>
  </si>
  <si>
    <t>172.17.0.209</t>
  </si>
  <si>
    <t>172.17.0.210</t>
  </si>
  <si>
    <t>Uriel jarquin</t>
  </si>
  <si>
    <t>172.17.0.211</t>
  </si>
  <si>
    <t>elap-dluna</t>
  </si>
  <si>
    <t>14:85:7F:FF:F0:19</t>
  </si>
  <si>
    <t>172.17.0.212</t>
  </si>
  <si>
    <t>azoquiapa</t>
  </si>
  <si>
    <t xml:space="preserve"> / </t>
  </si>
  <si>
    <t>B0-4F-13-01-B2-27</t>
  </si>
  <si>
    <t>DEC</t>
  </si>
  <si>
    <t>172.17.0.213</t>
  </si>
  <si>
    <t>172.17.0.214</t>
  </si>
  <si>
    <t>172.17.0.215</t>
  </si>
  <si>
    <t>ELAP-LRODRIGUEZ</t>
  </si>
  <si>
    <t xml:space="preserve"> </t>
  </si>
  <si>
    <t>172.17.0.216</t>
  </si>
  <si>
    <t>Piedad</t>
  </si>
  <si>
    <t>172.17.0.217</t>
  </si>
  <si>
    <t>elap-kpena</t>
  </si>
  <si>
    <t>3MLGW93</t>
  </si>
  <si>
    <t>14:85:7F:FF:10:F9</t>
  </si>
  <si>
    <t>172.17.0.218</t>
  </si>
  <si>
    <t>172.17.0.219</t>
  </si>
  <si>
    <t>172.17.0.220</t>
  </si>
  <si>
    <t>Alejandra SS</t>
  </si>
  <si>
    <t>172.17.0.221</t>
  </si>
  <si>
    <t>172.17.0.222</t>
  </si>
  <si>
    <t>172.17.0.223</t>
  </si>
  <si>
    <t>172.17.0.224</t>
  </si>
  <si>
    <t>Ricardo Cruz</t>
  </si>
  <si>
    <t>172.17.0.225</t>
  </si>
  <si>
    <t>Hazziel</t>
  </si>
  <si>
    <t>172.17.0.226</t>
  </si>
  <si>
    <t>Ana patricia</t>
  </si>
  <si>
    <t>172.17.0.227</t>
  </si>
  <si>
    <t xml:space="preserve">Hazziel </t>
  </si>
  <si>
    <t>172.17.0.228</t>
  </si>
  <si>
    <t>172.17.0.229</t>
  </si>
  <si>
    <t>172.17.0.230</t>
  </si>
  <si>
    <t>172.17.0.231</t>
  </si>
  <si>
    <t>172.17.0.232</t>
  </si>
  <si>
    <t>Emiliano</t>
  </si>
  <si>
    <t>172.17.0.233</t>
  </si>
  <si>
    <t>172.17.0.234</t>
  </si>
  <si>
    <t>172.17.0.235</t>
  </si>
  <si>
    <t>172.17.0.236</t>
  </si>
  <si>
    <t>172.17.0.237</t>
  </si>
  <si>
    <t>172.17.0.238</t>
  </si>
  <si>
    <t>172.17.0.239</t>
  </si>
  <si>
    <t>jsigales</t>
  </si>
  <si>
    <t>172.17.0.240</t>
  </si>
  <si>
    <t>Romina SS</t>
  </si>
  <si>
    <t>172.17.0.241</t>
  </si>
  <si>
    <t>Dulce sarmiento</t>
  </si>
  <si>
    <t>zoom</t>
  </si>
  <si>
    <t>172.17.0.244</t>
  </si>
  <si>
    <t>172.17.0.245</t>
  </si>
  <si>
    <t>MUVALLE/OMAR SAUD</t>
  </si>
  <si>
    <t>ZOOM</t>
  </si>
  <si>
    <t>172.17.0.246</t>
  </si>
  <si>
    <t>amedina</t>
  </si>
  <si>
    <t>sí</t>
  </si>
  <si>
    <t>172.17.0.247</t>
  </si>
  <si>
    <t>172.17.0.248</t>
  </si>
  <si>
    <t>glira</t>
  </si>
  <si>
    <t>1TLGW93</t>
  </si>
  <si>
    <t>94-E2-3C-26-80-90</t>
  </si>
  <si>
    <t>172.17.0.249</t>
  </si>
  <si>
    <t>sreyes</t>
  </si>
  <si>
    <t>93KGW93</t>
  </si>
  <si>
    <t>172.17.0.250</t>
  </si>
  <si>
    <t>JLopez</t>
  </si>
  <si>
    <t>172.17.0.251</t>
  </si>
  <si>
    <t xml:space="preserve"> ELAP-JALOPEZ</t>
  </si>
  <si>
    <t>CBJGW93</t>
  </si>
  <si>
    <t>172.17.0.252</t>
  </si>
  <si>
    <t xml:space="preserve"> EPC-JALOPEZ1</t>
  </si>
  <si>
    <t>9WND2G3</t>
  </si>
  <si>
    <t>D0-8E-79-05-23-29</t>
  </si>
  <si>
    <t>172.17.0.253</t>
  </si>
  <si>
    <t>vcastro</t>
  </si>
  <si>
    <t>172.17.0.254</t>
  </si>
  <si>
    <t>mixtli peñaloza</t>
  </si>
  <si>
    <t>8ML0FF3</t>
  </si>
  <si>
    <t>B0-4F-13-00-FA-AF</t>
  </si>
  <si>
    <t>172.17.1.01</t>
  </si>
  <si>
    <t>DCARVENTE</t>
  </si>
  <si>
    <t>ZOOM, TEAMS</t>
  </si>
  <si>
    <t>172.17.1.02</t>
  </si>
  <si>
    <t>JSANCHEZ</t>
  </si>
  <si>
    <t>172.17.1.03</t>
  </si>
  <si>
    <t>EPC-AGARCIAR</t>
  </si>
  <si>
    <t>9WMJ2G3</t>
  </si>
  <si>
    <t>D0-8E-79-05-23-3B</t>
  </si>
  <si>
    <t>ZOOM, TIDAL MUSIC</t>
  </si>
  <si>
    <t>172.17.1.04</t>
  </si>
  <si>
    <t>avilla</t>
  </si>
  <si>
    <t>2GJGW93</t>
  </si>
  <si>
    <t>C0-25-A5-47-4F-77</t>
  </si>
  <si>
    <t>172.17.1.05</t>
  </si>
  <si>
    <t>Fernanda Mosso</t>
  </si>
  <si>
    <t>172.17.1.06</t>
  </si>
  <si>
    <t>172.17.1.07</t>
  </si>
  <si>
    <t>pmixtli</t>
  </si>
  <si>
    <t>amazon music</t>
  </si>
  <si>
    <t>zoom, teams</t>
  </si>
  <si>
    <t>172.17.1.08</t>
  </si>
  <si>
    <t>172.17.1.09</t>
  </si>
  <si>
    <t>EPC-AAMADOR</t>
  </si>
  <si>
    <t>B0-4F-13-01-AA-5C</t>
  </si>
  <si>
    <t>172.17.1.10</t>
  </si>
  <si>
    <t>172.17.1.11</t>
  </si>
  <si>
    <t>172.17.1.12</t>
  </si>
  <si>
    <t>172.17.1.13</t>
  </si>
  <si>
    <t>Laptop Finanzas</t>
  </si>
  <si>
    <t>172.17.1.14</t>
  </si>
  <si>
    <t>omar saud</t>
  </si>
  <si>
    <t>172.17.1.15</t>
  </si>
  <si>
    <t>172.17.1.16</t>
  </si>
  <si>
    <t>MUVALLE</t>
  </si>
  <si>
    <t>172.17.1.17</t>
  </si>
  <si>
    <t>ITZEL</t>
  </si>
  <si>
    <t>RELACIONES INTERNACIONALES</t>
  </si>
  <si>
    <t>172.17.1.18</t>
  </si>
  <si>
    <t>172.17.1.19</t>
  </si>
  <si>
    <t>172.17.1.20</t>
  </si>
  <si>
    <t>172.17.1.21</t>
  </si>
  <si>
    <t>Tarjeta joven 1</t>
  </si>
  <si>
    <t>WENDY</t>
  </si>
  <si>
    <t>IPHONE</t>
  </si>
  <si>
    <t>Seguridad Giller,o Callejas</t>
  </si>
  <si>
    <t>personal</t>
  </si>
  <si>
    <t>sm-a037m</t>
  </si>
  <si>
    <t>r9hrb02cjtk</t>
  </si>
  <si>
    <t>Conflicto</t>
  </si>
  <si>
    <t>Muy lenta , seguridad</t>
  </si>
  <si>
    <t>172.17.1.24</t>
  </si>
  <si>
    <t>CROMERO</t>
  </si>
  <si>
    <t>INSTITUCIONAL</t>
  </si>
  <si>
    <t>SÍ</t>
  </si>
  <si>
    <t>172.17.1.25</t>
  </si>
  <si>
    <t>172.17.1.26</t>
  </si>
  <si>
    <t>msandoval</t>
  </si>
  <si>
    <t>D0:8E79:05:23:37</t>
  </si>
  <si>
    <t>172.17.1.27</t>
  </si>
  <si>
    <t>Subdirección RHM</t>
  </si>
  <si>
    <t>EC-63-D7-CF-04-EA</t>
  </si>
  <si>
    <t>172.17.1.28</t>
  </si>
  <si>
    <t>aron lap ss psi</t>
  </si>
  <si>
    <t>172.17.1.29</t>
  </si>
  <si>
    <t>Bernardo Cel</t>
  </si>
  <si>
    <t>172.17.1.30</t>
  </si>
  <si>
    <t>ELAP-JBARCENAS</t>
  </si>
  <si>
    <t>EC:63:D7:CF:C0:88</t>
  </si>
  <si>
    <t>172.17.1.31</t>
  </si>
  <si>
    <t>172.17.1.32</t>
  </si>
  <si>
    <t>solicita navegacion abierta</t>
  </si>
  <si>
    <t>172.17.1.33</t>
  </si>
  <si>
    <t>Carlos Six</t>
  </si>
  <si>
    <t>172.17.1.34</t>
  </si>
  <si>
    <t>GLAU</t>
  </si>
  <si>
    <t>172.17.1.35</t>
  </si>
  <si>
    <t>mluna</t>
  </si>
  <si>
    <t>D0-8E-79-05-23-D1</t>
  </si>
  <si>
    <t>Se solicita navegacion abierta</t>
  </si>
  <si>
    <t>172.17.1.36</t>
  </si>
  <si>
    <t>Gelauriano</t>
  </si>
  <si>
    <t>navegacion abierta</t>
  </si>
  <si>
    <t>172.17.1.37</t>
  </si>
  <si>
    <t>Salatiel</t>
  </si>
  <si>
    <t>172.17.1.38</t>
  </si>
  <si>
    <t>lgutierrez/egonzalez</t>
  </si>
  <si>
    <t>B0:4F:13:01:B2:1A</t>
  </si>
  <si>
    <t>172.17.1.39</t>
  </si>
  <si>
    <t>NMOSKO</t>
  </si>
  <si>
    <t xml:space="preserve"> B0-4F-13-01-B2-C2</t>
  </si>
  <si>
    <t>172.17.1.40</t>
  </si>
  <si>
    <t>jgonzalez</t>
  </si>
  <si>
    <t>172.17.1.41</t>
  </si>
  <si>
    <t>Allison Servicio Social</t>
  </si>
  <si>
    <t>Cel</t>
  </si>
  <si>
    <t>Android</t>
  </si>
  <si>
    <t>172.17.1.42</t>
  </si>
  <si>
    <t>JGONZALEZ</t>
  </si>
  <si>
    <t>172.17.1.43</t>
  </si>
  <si>
    <t>servicio Social Recursos Materiales</t>
  </si>
  <si>
    <t>172.17.1.44</t>
  </si>
  <si>
    <t>crios</t>
  </si>
  <si>
    <t>B0-4F-13-01-AF-AD</t>
  </si>
  <si>
    <t>NAVEGACION ABIERTA</t>
  </si>
  <si>
    <t>172.17.1.45</t>
  </si>
  <si>
    <t>grivera</t>
  </si>
  <si>
    <t>JMLGW93</t>
  </si>
  <si>
    <t>14-85-7F-FF-B6-AD</t>
  </si>
  <si>
    <t>172.17.1.46</t>
  </si>
  <si>
    <t>iarriaga</t>
  </si>
  <si>
    <t>B0-4F-13-00-F9-FA</t>
  </si>
  <si>
    <t>172.17.1.47</t>
  </si>
  <si>
    <t xml:space="preserve">Servicio Social 2 </t>
  </si>
  <si>
    <t>172.17.1.48</t>
  </si>
  <si>
    <t xml:space="preserve"> AbrahamSandoval</t>
  </si>
  <si>
    <t>B0-4F-13-01-AE-98</t>
  </si>
  <si>
    <t>172.17.1.49</t>
  </si>
  <si>
    <t>BMARTINEZ</t>
  </si>
  <si>
    <t>172.17.1.50</t>
  </si>
  <si>
    <t xml:space="preserve">Alejandra (sin color) </t>
  </si>
  <si>
    <t>Iphone 12</t>
  </si>
  <si>
    <t>172.17.1.51</t>
  </si>
  <si>
    <t>172.17.1.52</t>
  </si>
  <si>
    <t>SERVICIO SOCIAL 1 (PERSONAL)</t>
  </si>
  <si>
    <t>172.17.1.53</t>
  </si>
  <si>
    <t>Sindicato</t>
  </si>
  <si>
    <t>172.17.1.54</t>
  </si>
  <si>
    <t>Diego</t>
  </si>
  <si>
    <t>172.17.1.55</t>
  </si>
  <si>
    <t>Jessica Barcenas</t>
  </si>
  <si>
    <t>172.17.1.56</t>
  </si>
  <si>
    <t>Bernardo Guillen</t>
  </si>
  <si>
    <t>172.17.1.57</t>
  </si>
  <si>
    <t>172.17.1.58</t>
  </si>
  <si>
    <t>Yao Cruz</t>
  </si>
  <si>
    <t>14:85:7F:FE:8C:1A</t>
  </si>
  <si>
    <t>solicita navegacion abierts</t>
  </si>
  <si>
    <t>172.17.1.59</t>
  </si>
  <si>
    <t>Servicio Social 1</t>
  </si>
  <si>
    <t>172.17.1.60</t>
  </si>
  <si>
    <t xml:space="preserve">g rivera </t>
  </si>
  <si>
    <t>solicitar navegación abierta</t>
  </si>
  <si>
    <t>172.17.1.61</t>
  </si>
  <si>
    <t>jimena Cruz</t>
  </si>
  <si>
    <t>172.17.1.62</t>
  </si>
  <si>
    <t>latitud 3420</t>
  </si>
  <si>
    <t>84KGW93</t>
  </si>
  <si>
    <t>172.17.1.63</t>
  </si>
  <si>
    <t>SSMATERIALES 2 / SGOMEZ</t>
  </si>
  <si>
    <t>172.17.1.64</t>
  </si>
  <si>
    <t>Servicio social rh</t>
  </si>
  <si>
    <t>172.17.1.65</t>
  </si>
  <si>
    <t>malvarado/vraul</t>
  </si>
  <si>
    <t>D0:8E:79:05:23:3C</t>
  </si>
  <si>
    <t>172.17.1.66</t>
  </si>
  <si>
    <t>jsidales</t>
  </si>
  <si>
    <t>172.17.1.67</t>
  </si>
  <si>
    <t>Toño</t>
  </si>
  <si>
    <t>172.17.1.68</t>
  </si>
  <si>
    <t>Jessica iPad</t>
  </si>
  <si>
    <t>172.17.1.69</t>
  </si>
  <si>
    <t>Beatriz limpieza</t>
  </si>
  <si>
    <t>172.17.1.70</t>
  </si>
  <si>
    <t>Raul Recursos Materiales</t>
  </si>
  <si>
    <t>Iphone 16 Pro</t>
  </si>
  <si>
    <t>172.17.1.71</t>
  </si>
  <si>
    <t>Lizbeth (Vigilancia)</t>
  </si>
  <si>
    <t>172.17.1.78</t>
  </si>
  <si>
    <t>gullermo vigilancia</t>
  </si>
  <si>
    <t>172.17.1.73</t>
  </si>
  <si>
    <t>yesenia camacho</t>
  </si>
  <si>
    <t>172.17.1.74</t>
  </si>
  <si>
    <t>Daniel (Vigilancia)</t>
  </si>
  <si>
    <t>172.17.1.75</t>
  </si>
  <si>
    <t xml:space="preserve">Jessica Araceli </t>
  </si>
  <si>
    <t>172.17.1.76</t>
  </si>
  <si>
    <t>ATZIRY SS</t>
  </si>
  <si>
    <t>172.17.1.77</t>
  </si>
  <si>
    <t>Iphone SE (creo)</t>
  </si>
  <si>
    <t>Carolina (vigilancia)</t>
  </si>
  <si>
    <t>172.17.1.79</t>
  </si>
  <si>
    <t>Isaac (Servicio Social)</t>
  </si>
  <si>
    <t>Comunicación Social</t>
  </si>
  <si>
    <t>172.17.1.80</t>
  </si>
  <si>
    <t>Materiales SS</t>
  </si>
  <si>
    <t>172.17.1.81</t>
  </si>
  <si>
    <t>172.17.1.82</t>
  </si>
  <si>
    <t>Vigilancia Enero 2026</t>
  </si>
  <si>
    <t>172.17.1.83</t>
  </si>
  <si>
    <t>Maria Soledad Limpieza</t>
  </si>
  <si>
    <t xml:space="preserve">Guadalupe Pimentel  </t>
  </si>
  <si>
    <t>172.17.1.105</t>
  </si>
  <si>
    <t>RLUNA</t>
  </si>
  <si>
    <t>94:E2:3C:00:E9:7A</t>
  </si>
  <si>
    <t>172.17.1.106</t>
  </si>
  <si>
    <t>Hazzel 2</t>
  </si>
  <si>
    <t>172.17.1.107</t>
  </si>
  <si>
    <t>RCALLEJA</t>
  </si>
  <si>
    <t>SINC y COMSOC</t>
  </si>
  <si>
    <t>172.17.1.108</t>
  </si>
  <si>
    <t>Monserrat Molina</t>
  </si>
  <si>
    <t>REPOSITORIOS, BANCOS DE IMAGENES Y VIDEOS, PINTEREST</t>
  </si>
  <si>
    <t>172.17.1.109</t>
  </si>
  <si>
    <t>jchavira</t>
  </si>
  <si>
    <t>172.17.1.110</t>
  </si>
  <si>
    <t>172.17.1.111</t>
  </si>
  <si>
    <t>ELAP-KFLORES</t>
  </si>
  <si>
    <t>94-E2-3C-26-0D-D1</t>
  </si>
  <si>
    <t>172.17.1.112</t>
  </si>
  <si>
    <t>DBALDERRAMA</t>
  </si>
  <si>
    <t>172.17.1.113</t>
  </si>
  <si>
    <t>Hazzel</t>
  </si>
  <si>
    <t>172.17.1.114</t>
  </si>
  <si>
    <t>MRAMIREZ</t>
  </si>
  <si>
    <t>dirección General</t>
  </si>
  <si>
    <t>172.17.1.115</t>
  </si>
  <si>
    <t>Nitza</t>
  </si>
  <si>
    <t>172.17.1.116</t>
  </si>
  <si>
    <t>LZavala</t>
  </si>
  <si>
    <t>172.17.1.117</t>
  </si>
  <si>
    <t>Natalia ss</t>
  </si>
  <si>
    <t>172.17.1.118</t>
  </si>
  <si>
    <t>EPC-YHERNANDEZ</t>
  </si>
  <si>
    <t>D0-8E-79-05-23-26</t>
  </si>
  <si>
    <t>172.17.1.119</t>
  </si>
  <si>
    <t>layla manilla hernandez</t>
  </si>
  <si>
    <t>172.17.1.120</t>
  </si>
  <si>
    <t>Guadalupe</t>
  </si>
  <si>
    <t>172.17.1.121</t>
  </si>
  <si>
    <t>claudia gonzalez</t>
  </si>
  <si>
    <t>validadciones SAT</t>
  </si>
  <si>
    <t>172.17.1.122</t>
  </si>
  <si>
    <t>Andres Chavira</t>
  </si>
  <si>
    <t>172.17.1.123</t>
  </si>
  <si>
    <t>172.17.1.124</t>
  </si>
  <si>
    <t xml:space="preserve"> ELAP-VSOTO</t>
  </si>
  <si>
    <t>14-85-7F-FF-CB-B6</t>
  </si>
  <si>
    <t>x</t>
  </si>
  <si>
    <t>172.17.1.125</t>
  </si>
  <si>
    <t>fernanda casique</t>
  </si>
  <si>
    <t>172.17.1.126</t>
  </si>
  <si>
    <t>172.17.1.127</t>
  </si>
  <si>
    <t xml:space="preserve">Acerecedo </t>
  </si>
  <si>
    <t>macbook air</t>
  </si>
  <si>
    <t>172.17.1.128</t>
  </si>
  <si>
    <t>SS</t>
  </si>
  <si>
    <t>172.17.1.129</t>
  </si>
  <si>
    <t>Isaac SANCHEZ</t>
  </si>
  <si>
    <t>honor</t>
  </si>
  <si>
    <t>172.17.1.130</t>
  </si>
  <si>
    <t>elap-jchavira</t>
  </si>
  <si>
    <t>172.17.1.131</t>
  </si>
  <si>
    <t>JUAN</t>
  </si>
  <si>
    <t>172.17.1.132</t>
  </si>
  <si>
    <t xml:space="preserve">Brenda Servicio </t>
  </si>
  <si>
    <t>172.17.1.133</t>
  </si>
  <si>
    <t xml:space="preserve">Hazzel </t>
  </si>
  <si>
    <t>172.17.1.134</t>
  </si>
  <si>
    <t>Sofía Garcia</t>
  </si>
  <si>
    <t>172.17.1.135</t>
  </si>
  <si>
    <t>CLAUDIA gonzalez</t>
  </si>
  <si>
    <t>172.17.1.136</t>
  </si>
  <si>
    <t>gen1/Maria de Pilar Blancas</t>
  </si>
  <si>
    <t xml:space="preserve">Equipos de Damian </t>
  </si>
  <si>
    <t>172.17.1.137</t>
  </si>
  <si>
    <t>alado impresora</t>
  </si>
  <si>
    <t>172.17.1.138</t>
  </si>
  <si>
    <t>Claudia Lira</t>
  </si>
  <si>
    <t>172.17.1.139</t>
  </si>
  <si>
    <t>FERNANDA</t>
  </si>
  <si>
    <t>172.17.1.140</t>
  </si>
  <si>
    <t>Puede que este ocupada</t>
  </si>
  <si>
    <t>172.17.1.141</t>
  </si>
  <si>
    <t>Pamela LLACA</t>
  </si>
  <si>
    <t>Joaquin Andre's</t>
  </si>
  <si>
    <t>Laptop Institucional</t>
  </si>
  <si>
    <t xml:space="preserve">Servicio Social Comunicación </t>
  </si>
  <si>
    <t>172.17.1.144</t>
  </si>
  <si>
    <t>172.17.1.145</t>
  </si>
  <si>
    <t>172.17.1.146</t>
  </si>
  <si>
    <t>172.17.1.147</t>
  </si>
  <si>
    <t>EPC-SONATE</t>
  </si>
  <si>
    <t>8DB2FF3</t>
  </si>
  <si>
    <t>B0-4F-13-01-B2-9D</t>
  </si>
  <si>
    <t>172.17.1.148</t>
  </si>
  <si>
    <t>epc-ecortes</t>
  </si>
  <si>
    <t>8MKYDF3</t>
  </si>
  <si>
    <t>B0:4F:13:00:FA:B5</t>
  </si>
  <si>
    <t>172.17.1.149</t>
  </si>
  <si>
    <t>172.17.1.150</t>
  </si>
  <si>
    <t xml:space="preserve"> EPC-MCHAVEZ</t>
  </si>
  <si>
    <t>B0-4F-13-01-B2-98</t>
  </si>
  <si>
    <t>172.17.1.151</t>
  </si>
  <si>
    <t xml:space="preserve">Eduardo Vargas </t>
  </si>
  <si>
    <t>172.17.1.152</t>
  </si>
  <si>
    <t xml:space="preserve">Servicio social aREC. materiales </t>
  </si>
  <si>
    <t>Latitude</t>
  </si>
  <si>
    <t>172.17.1.153</t>
  </si>
  <si>
    <t>Romina 2 servicio social</t>
  </si>
  <si>
    <t>172.17.1.154</t>
  </si>
  <si>
    <t>172.17.1.155</t>
  </si>
  <si>
    <t>172.17.1.156</t>
  </si>
  <si>
    <t>Romina Servicio social</t>
  </si>
  <si>
    <t>172.17.1.157</t>
  </si>
  <si>
    <t>guillermo vigilancia</t>
  </si>
  <si>
    <t>172.17.1.158</t>
  </si>
  <si>
    <t>172.17.1.159</t>
  </si>
  <si>
    <t xml:space="preserve">Carlos DG de Venancio </t>
  </si>
  <si>
    <t>Marianne</t>
  </si>
  <si>
    <t>172.17.1.162</t>
  </si>
  <si>
    <t>Mini Servidor</t>
  </si>
  <si>
    <t>HP ProLiant MicroServer Gen8</t>
  </si>
  <si>
    <t>172.17.1.163</t>
  </si>
  <si>
    <t>yrodriguez</t>
  </si>
  <si>
    <t>172.17.1.164</t>
  </si>
  <si>
    <t xml:space="preserve"> Pau pau compu </t>
  </si>
  <si>
    <t>172.17.1.165</t>
  </si>
  <si>
    <t>Windows 10 del Mini Servidor</t>
  </si>
  <si>
    <t>172.17.1.166</t>
  </si>
  <si>
    <t>172.17.1.167</t>
  </si>
  <si>
    <t>172.17.1.168</t>
  </si>
  <si>
    <t>EPC-LGOMEZ</t>
  </si>
  <si>
    <t>PCA</t>
  </si>
  <si>
    <t>B0-4F-13-01-B2-7C</t>
  </si>
  <si>
    <t>172.17.1.169</t>
  </si>
  <si>
    <t>lgomez</t>
  </si>
  <si>
    <t>P30</t>
  </si>
  <si>
    <t>AGTDU19B26000182</t>
  </si>
  <si>
    <t>28:33:34:7A:04:29</t>
  </si>
  <si>
    <t>172.17.1.170</t>
  </si>
  <si>
    <t>Evelyn Venancio</t>
  </si>
  <si>
    <t>172.17.1.171</t>
  </si>
  <si>
    <t>Hija de Liz</t>
  </si>
  <si>
    <t>172.17.1.172</t>
  </si>
  <si>
    <t>Lulú Lap</t>
  </si>
  <si>
    <t>172.17.1.173</t>
  </si>
  <si>
    <t>172.17.1.174</t>
  </si>
  <si>
    <t>172.17.1.175</t>
  </si>
  <si>
    <t>D0-8E-79-05-23-1E</t>
  </si>
  <si>
    <t>172.17.1.176</t>
  </si>
  <si>
    <t>erick lara</t>
  </si>
  <si>
    <t>Macbook pro</t>
  </si>
  <si>
    <t>172.17.1.177</t>
  </si>
  <si>
    <t>172.17.1.178</t>
  </si>
  <si>
    <t>172.17.1.179</t>
  </si>
  <si>
    <t>172.17.1.180</t>
  </si>
  <si>
    <t>PC-octavio</t>
  </si>
  <si>
    <t>D0-8E-79-05-23-AA</t>
  </si>
  <si>
    <t>172.17.1.181</t>
  </si>
  <si>
    <t>Capacitación (Sigales)</t>
  </si>
  <si>
    <t>IMPRESORA</t>
  </si>
  <si>
    <t>LEXMARK</t>
  </si>
  <si>
    <t>CS725</t>
  </si>
  <si>
    <t>50282430H69PZ</t>
  </si>
  <si>
    <t>172.17.1.182</t>
  </si>
  <si>
    <t>172.17.1.183</t>
  </si>
  <si>
    <t>172.17.1.184</t>
  </si>
  <si>
    <t>Jessica sigales</t>
  </si>
  <si>
    <t>172.17.1.185</t>
  </si>
  <si>
    <t>172.17.1.186</t>
  </si>
  <si>
    <t>172.17.1.187</t>
  </si>
  <si>
    <t>Octavio Cel</t>
  </si>
  <si>
    <t>Iphone 13</t>
  </si>
  <si>
    <t>172.17.1.188</t>
  </si>
  <si>
    <t>Lulu_cel</t>
  </si>
  <si>
    <t>172.17.1.189</t>
  </si>
  <si>
    <t>172.17.1.190</t>
  </si>
  <si>
    <t>172.17.1.191</t>
  </si>
  <si>
    <t>0---</t>
  </si>
  <si>
    <t>172.17.1.192</t>
  </si>
  <si>
    <t>Temporal Javier Chavira</t>
  </si>
  <si>
    <t>172.17.1.193</t>
  </si>
  <si>
    <t>172.17.1.194</t>
  </si>
  <si>
    <t>172.17.1.195</t>
  </si>
  <si>
    <t>Erick Lara</t>
  </si>
  <si>
    <t>S/N</t>
  </si>
  <si>
    <t>172.17.1.196</t>
  </si>
  <si>
    <t>172.17.1.197</t>
  </si>
  <si>
    <t>172.17.1.198</t>
  </si>
  <si>
    <t>172.17.1.199</t>
  </si>
  <si>
    <t>n</t>
  </si>
  <si>
    <t>172.17.1.200</t>
  </si>
  <si>
    <t>172.17.1.201</t>
  </si>
  <si>
    <t>Servidor Impresoras</t>
  </si>
  <si>
    <t>172.17.1.202</t>
  </si>
  <si>
    <t>172.17.1.203</t>
  </si>
  <si>
    <t>172.17.1.204</t>
  </si>
  <si>
    <t>Auditoria Mario</t>
  </si>
  <si>
    <t>172.17.1.205</t>
  </si>
  <si>
    <t>172.17.1.206</t>
  </si>
  <si>
    <t>172.17.1.207</t>
  </si>
  <si>
    <t>50282420H6972</t>
  </si>
  <si>
    <t>172.17.1.208</t>
  </si>
  <si>
    <t>172.17.1.209</t>
  </si>
  <si>
    <t>AROMERO</t>
  </si>
  <si>
    <t>Secretaria Tecnica</t>
  </si>
  <si>
    <t>172.17.1.210</t>
  </si>
  <si>
    <t>SAUL SEGUNDO</t>
  </si>
  <si>
    <t>172.17.1.211</t>
  </si>
  <si>
    <t>Alejandra Beltrán auditoría</t>
  </si>
  <si>
    <t>172.17.1.212</t>
  </si>
  <si>
    <t>172.17.1.213</t>
  </si>
  <si>
    <t>OIC (NAVE)</t>
  </si>
  <si>
    <t>MX722</t>
  </si>
  <si>
    <t xml:space="preserve">7464052024ZYY  </t>
  </si>
  <si>
    <t>78:8C:77:22:1C:4E</t>
  </si>
  <si>
    <t>172.17.1.214</t>
  </si>
  <si>
    <t>SM-A546E</t>
  </si>
  <si>
    <t>RZCWA0CTM0Y</t>
  </si>
  <si>
    <t>172.17.1.215</t>
  </si>
  <si>
    <t>172.17.1.216</t>
  </si>
  <si>
    <t>172.17.1.217</t>
  </si>
  <si>
    <t>XM5365</t>
  </si>
  <si>
    <t>74648270207HT</t>
  </si>
  <si>
    <t>78:8C:77:22:AC:CD</t>
  </si>
  <si>
    <t>172.17.1.218</t>
  </si>
  <si>
    <t>172.17.1.219</t>
  </si>
  <si>
    <t>172.17.1.220</t>
  </si>
  <si>
    <t>joshua</t>
  </si>
  <si>
    <t>172.17.1.221</t>
  </si>
  <si>
    <t>172.17.1.222</t>
  </si>
  <si>
    <t>Comunicación Social (Diseño)</t>
  </si>
  <si>
    <t>CX725</t>
  </si>
  <si>
    <t>75281060H5Z1L</t>
  </si>
  <si>
    <t>78:8C:77:34:7C:59</t>
  </si>
  <si>
    <t>172.17.1.223</t>
  </si>
  <si>
    <t>Comunicación Social (NAVE)</t>
  </si>
  <si>
    <t xml:space="preserve">7464052023ZTT </t>
  </si>
  <si>
    <t>78:8C:77:22:AC:0B</t>
  </si>
  <si>
    <t>172.17.1.224</t>
  </si>
  <si>
    <t>Moises SS</t>
  </si>
  <si>
    <t>172.17.1.225</t>
  </si>
  <si>
    <t>172.17.1.226</t>
  </si>
  <si>
    <t>Julio SS</t>
  </si>
  <si>
    <t>172.17.1.227</t>
  </si>
  <si>
    <t>172.17.1.228</t>
  </si>
  <si>
    <t>Secretaria Tecnica Color</t>
  </si>
  <si>
    <t>7464052023ZTT</t>
  </si>
  <si>
    <t>172.17.1.229</t>
  </si>
  <si>
    <t>172.17.1.230</t>
  </si>
  <si>
    <t>7464913021K6R</t>
  </si>
  <si>
    <t>00:21:B7:5F:B6:F3</t>
  </si>
  <si>
    <t>172.17.1.231</t>
  </si>
  <si>
    <t xml:space="preserve"> 7464913021K3Y</t>
  </si>
  <si>
    <t>00:21:B7:5F:2E:4B</t>
  </si>
  <si>
    <t>172.17.1.232</t>
  </si>
  <si>
    <t>Limpieza</t>
  </si>
  <si>
    <t>172.17.1.233</t>
  </si>
  <si>
    <t>Seguridad Carolina</t>
  </si>
  <si>
    <t>172.17.1.234</t>
  </si>
  <si>
    <t>Evaluación y Control</t>
  </si>
  <si>
    <t>7464913021K3Y</t>
  </si>
  <si>
    <t>172.17.1.235</t>
  </si>
  <si>
    <t>172.17.1.236</t>
  </si>
  <si>
    <t>Miguel Oviedo</t>
  </si>
  <si>
    <t>172.17.1.237</t>
  </si>
  <si>
    <t>Paulina Montoya</t>
  </si>
  <si>
    <t>172.17.1.238</t>
  </si>
  <si>
    <t>Octavio (pendiente)</t>
  </si>
  <si>
    <t>172.17.1.239</t>
  </si>
  <si>
    <t>Pau SS</t>
  </si>
  <si>
    <t>172.17.1.240</t>
  </si>
  <si>
    <t>Joshua Rodríguez</t>
  </si>
  <si>
    <t>172.17.1.241</t>
  </si>
  <si>
    <t>Alondra (ss comunicacion)</t>
  </si>
  <si>
    <t>172.17.1.242</t>
  </si>
  <si>
    <t>172.17.1.243</t>
  </si>
  <si>
    <t>172.17.1.244</t>
  </si>
  <si>
    <t>Subdirección de Sistemas</t>
  </si>
  <si>
    <t>75281060H5Z5Y</t>
  </si>
  <si>
    <t>78:8C:77:34:7C:D9</t>
  </si>
  <si>
    <t>172.17.1.245</t>
  </si>
  <si>
    <t>Mauricio Auditor</t>
  </si>
  <si>
    <t>172.17.1.246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</si>
  <si>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</si>
  <si>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172.17.1.247</t>
  </si>
  <si>
    <t>172.17.1.248</t>
  </si>
  <si>
    <t>172.17.1.249</t>
  </si>
  <si>
    <t>Áreas</t>
  </si>
  <si>
    <t>Siglas</t>
  </si>
  <si>
    <t>Pérfil</t>
  </si>
  <si>
    <t>CONEXIÓN</t>
  </si>
  <si>
    <t>CONFIGURACIÓN</t>
  </si>
  <si>
    <t>MARCA</t>
  </si>
  <si>
    <t>ESTATUS</t>
  </si>
  <si>
    <t>Permisos</t>
  </si>
  <si>
    <t>DIRECCIÓN DE BIENESTAR Y ESTIMULOS A LA JUVENTUD</t>
  </si>
  <si>
    <t>DIRECCIÓN DE INESTIGACIÓN Y ESTUDIOS SOBRE JUVENTUDES</t>
  </si>
  <si>
    <t>ALÁMBRICO/INALÁMBRICO</t>
  </si>
  <si>
    <t>DIRECCIÓN DE COORDINACIÓN SERCTORIAL Y REGIONAL</t>
  </si>
  <si>
    <t>DIRECCIÓN DE EVALUACIÓN Y CONTROL</t>
  </si>
  <si>
    <t>DIRECCIÓN DE FINANZAS</t>
  </si>
  <si>
    <t>HOMEPOD</t>
  </si>
  <si>
    <t>DIRECCIÓN DE RECURSOS HUMANOS Y MATERIALES</t>
  </si>
  <si>
    <t>DIRECCIÓN DE ASUSTOS JURÍDICOS</t>
  </si>
  <si>
    <t>DIRECCIÓN DE COMUNICACIÓN SOCIAL</t>
  </si>
  <si>
    <t>MOTOROLA</t>
  </si>
  <si>
    <t>SECRETARÍA TÉCNICA</t>
  </si>
  <si>
    <t>SUBDIRECCIÓN DE SISTEMAS</t>
  </si>
  <si>
    <t>POCO</t>
  </si>
  <si>
    <t>SUBDIRECCIÓN DE ASUNTOS INTERNACIONALES</t>
  </si>
  <si>
    <t>SAI</t>
  </si>
  <si>
    <t>TITULAR DE AUDITORIA INTERNA Y QUEJAS</t>
  </si>
  <si>
    <t>Firewall Libre</t>
  </si>
  <si>
    <t>Firewall amigos</t>
  </si>
  <si>
    <t>Firewall Con folio, limitiado</t>
  </si>
  <si>
    <t>Firewall Restringido</t>
  </si>
  <si>
    <t>I.P.</t>
  </si>
  <si>
    <t>M'ASCARA DE SUBRED</t>
  </si>
  <si>
    <t>255.255.254.0</t>
  </si>
  <si>
    <t>PUERTA DE ENLACE (O ROUTER)</t>
  </si>
  <si>
    <t>172.17.0.1</t>
  </si>
  <si>
    <t>SERVIDOR DNS</t>
  </si>
  <si>
    <t>172.16.1.6</t>
  </si>
  <si>
    <t>DNS SECUNDARIO</t>
  </si>
  <si>
    <t>8.8.8.8</t>
  </si>
  <si>
    <t>LONGITUD DE SERCVICIO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</si>
</sst>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Noto Sans"/>
      <family val="2"/>
    </font>
    <font>
      <sz val="11"/>
      <color theme="1"/>
      <name val="Aptos Narrow"/>
      <family val="2"/>
      <scheme val="minor"/>
    </font>
    <font>
      <b/>
      <sz val="8"/>
      <color theme="0"/>
      <name val="Noto Sans"/>
      <family val="2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sz val="10"/>
      <name val="Noto Sans"/>
      <family val="2"/>
    </font>
    <font>
      <b/>
      <sz val="10"/>
      <color theme="0"/>
      <name val="Noto Sans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Noto Sans"/>
      <family val="2"/>
    </font>
    <font>
      <b/>
      <sz val="8"/>
      <color theme="0"/>
      <name val="Geomanist"/>
      <family val="3"/>
    </font>
    <font>
      <sz val="8"/>
      <color theme="1"/>
      <name val="Geomanist"/>
      <family val="3"/>
    </font>
    <font>
      <sz val="8"/>
      <color theme="1"/>
      <name val="Noto Sans"/>
      <family val="2"/>
    </font>
    <font>
      <b/>
      <sz val="8"/>
      <color theme="1"/>
      <name val="Noto Sans"/>
      <family val="2"/>
    </font>
    <font>
      <b/>
      <sz val="10"/>
      <name val="Noto Sans"/>
      <family val="2"/>
    </font>
    <font>
      <b/>
      <sz val="11"/>
      <color theme="0"/>
      <name val="Noto Sans"/>
      <family val="2"/>
    </font>
    <font>
      <sz val="8"/>
      <color rgb="FF000000"/>
      <name val="Noto Sans"/>
      <family val="2"/>
    </font>
    <font>
      <sz val="10"/>
      <color theme="1"/>
      <name val="Montserrat"/>
    </font>
    <font>
      <sz val="10"/>
      <color rgb="FF000000"/>
      <name val="Noto Sans"/>
      <family val="2"/>
    </font>
    <font>
      <b/>
      <sz val="14"/>
      <color theme="0"/>
      <name val="Noto Sans"/>
      <family val="2"/>
    </font>
    <font>
      <sz val="9"/>
      <color theme="1"/>
      <name val="Montserrat"/>
    </font>
    <font>
      <b/>
      <sz val="11"/>
      <color theme="1"/>
      <name val="Aptos Narrow"/>
      <family val="2"/>
      <scheme val="minor"/>
    </font>
    <font>
      <u/>
      <sz val="10"/>
      <color theme="1"/>
      <name val="Noto Sans"/>
      <family val="2"/>
    </font>
    <font>
      <sz val="10"/>
      <color rgb="FFFF0000"/>
      <name val="Noto Sans"/>
      <family val="2"/>
    </font>
    <font>
      <u/>
      <sz val="11"/>
      <color theme="1"/>
      <name val="Noto Sans"/>
      <family val="2"/>
    </font>
    <font>
      <b/>
      <u/>
      <sz val="10"/>
      <color theme="1"/>
      <name val="Noto Sans"/>
      <family val="2"/>
    </font>
    <font>
      <sz val="11"/>
      <color theme="1"/>
      <name val="Noto Sans"/>
      <family val="2"/>
    </font>
    <font>
      <sz val="10"/>
      <color theme="1"/>
      <name val="Noto Sans"/>
    </font>
    <font>
      <b/>
      <sz val="11"/>
      <color theme="1"/>
      <name val="Noto Sans"/>
      <family val="2"/>
    </font>
    <font>
      <sz val="11"/>
      <color rgb="FF000000"/>
      <name val="Noto Sans"/>
      <family val="2"/>
    </font>
    <font>
      <u/>
      <sz val="11"/>
      <color rgb="FF000000"/>
      <name val="Noto Sans"/>
      <family val="2"/>
    </font>
    <font>
      <b/>
      <sz val="10"/>
      <name val="Noto Sans"/>
    </font>
    <font>
      <sz val="11"/>
      <color theme="1"/>
      <name val="Noto Sans"/>
    </font>
  </fonts>
  <fills count="71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270">
        <stop position="0">
          <color theme="7" tint="-0.25098422193060094"/>
        </stop>
        <stop position="1">
          <color theme="4" tint="-0.25098422193060094"/>
        </stop>
      </gradient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5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FF99"/>
        </stop>
        <stop position="1">
          <color theme="0"/>
        </stop>
      </gradientFill>
    </fill>
    <fill>
      <gradientFill degree="45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0" tint="-0.499984740745262"/>
        <bgColor indexed="64"/>
      </patternFill>
    </fill>
    <fill>
      <gradientFill degree="90">
        <stop position="0">
          <color theme="0"/>
        </stop>
        <stop position="0.5">
          <color rgb="FFB96363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8" tint="-0.49803155613879818"/>
        </stop>
      </gradientFill>
    </fill>
    <fill>
      <gradientFill degree="270">
        <stop position="0">
          <color theme="0"/>
        </stop>
        <stop position="1">
          <color theme="8" tint="-0.49803155613879818"/>
        </stop>
      </gradientFill>
    </fill>
    <fill>
      <gradientFill degree="45">
        <stop position="0">
          <color theme="0"/>
        </stop>
        <stop position="0.5">
          <color theme="8" tint="-0.49803155613879818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9" tint="-0.49803155613879818"/>
        </stop>
      </gradientFill>
    </fill>
    <fill>
      <gradientFill degree="270">
        <stop position="0">
          <color theme="0"/>
        </stop>
        <stop position="1">
          <color theme="9" tint="-0.49803155613879818"/>
        </stop>
      </gradientFill>
    </fill>
    <fill>
      <gradientFill degree="45">
        <stop position="0">
          <color theme="0"/>
        </stop>
        <stop position="0.5">
          <color theme="9" tint="-0.49803155613879818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rgb="FFC00000"/>
        </stop>
      </gradientFill>
    </fill>
    <fill>
      <gradientFill degree="270">
        <stop position="0">
          <color theme="0"/>
        </stop>
        <stop position="1">
          <color rgb="FFC00000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7" tint="-0.49803155613879818"/>
        </stop>
      </gradientFill>
    </fill>
    <fill>
      <gradientFill degree="270">
        <stop position="0">
          <color theme="0"/>
        </stop>
        <stop position="1">
          <color theme="7" tint="-0.49803155613879818"/>
        </stop>
      </gradientFill>
    </fill>
    <fill>
      <gradientFill degree="45">
        <stop position="0">
          <color theme="0"/>
        </stop>
        <stop position="0.5">
          <color theme="7" tint="-0.49803155613879818"/>
        </stop>
        <stop position="1">
          <color theme="0"/>
        </stop>
      </gradientFill>
    </fill>
    <fill>
      <gradientFill degree="45">
        <stop position="0">
          <color theme="0"/>
        </stop>
        <stop position="0.5">
          <color rgb="FFC00000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6" tint="-0.49803155613879818"/>
        </stop>
      </gradientFill>
    </fill>
    <fill>
      <gradientFill degree="270">
        <stop position="0">
          <color theme="0"/>
        </stop>
        <stop position="1">
          <color theme="6" tint="-0.49803155613879818"/>
        </stop>
      </gradientFill>
    </fill>
    <fill>
      <gradientFill degree="90">
        <stop position="0">
          <color theme="0" tint="-0.34900967436750391"/>
        </stop>
        <stop position="0.5">
          <color theme="4"/>
        </stop>
        <stop position="1">
          <color theme="0" tint="-0.34900967436750391"/>
        </stop>
      </gradientFill>
    </fill>
    <fill>
      <gradientFill degree="90">
        <stop position="0">
          <color theme="2" tint="-0.25098422193060094"/>
        </stop>
        <stop position="0.5">
          <color theme="8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9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C00000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7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6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5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3" tint="9.8025452436902985E-2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DCAFE3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9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0070C0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FFC000"/>
        </stop>
        <stop position="1">
          <color theme="2" tint="-0.25098422193060094"/>
        </stop>
      </gradientFill>
    </fill>
    <fill>
      <gradientFill degree="90">
        <stop position="0">
          <color theme="2" tint="-9.8025452436902985E-2"/>
        </stop>
        <stop position="0.5">
          <color theme="9" tint="0.40000610370189521"/>
        </stop>
        <stop position="1">
          <color theme="2" tint="-9.8025452436902985E-2"/>
        </stop>
      </gradientFill>
    </fill>
    <fill>
      <gradientFill degree="90">
        <stop position="0">
          <color theme="2" tint="-9.8025452436902985E-2"/>
        </stop>
        <stop position="0.5">
          <color theme="5" tint="0.59999389629810485"/>
        </stop>
        <stop position="1">
          <color theme="2" tint="-9.8025452436902985E-2"/>
        </stop>
      </gradientFill>
    </fill>
    <fill>
      <gradientFill degree="90">
        <stop position="0">
          <color theme="2" tint="-0.25098422193060094"/>
        </stop>
        <stop position="0.5">
          <color rgb="FFFFFF99"/>
        </stop>
        <stop position="1">
          <color theme="2" tint="-0.25098422193060094"/>
        </stop>
      </gradientFill>
    </fill>
    <fill>
      <gradientFill degree="270">
        <stop position="0">
          <color theme="2" tint="-0.25098422193060094"/>
        </stop>
        <stop position="1">
          <color rgb="FFB96363"/>
        </stop>
      </gradientFill>
    </fill>
    <fill>
      <gradientFill degree="90">
        <stop position="0">
          <color theme="2" tint="-0.25098422193060094"/>
        </stop>
        <stop position="1">
          <color rgb="FFB96363"/>
        </stop>
      </gradientFill>
    </fill>
    <fill>
      <gradientFill degree="45">
        <stop position="0">
          <color theme="0"/>
        </stop>
        <stop position="0.5">
          <color theme="3" tint="9.8025452436902985E-2"/>
        </stop>
        <stop position="1">
          <color theme="0"/>
        </stop>
      </gradientFill>
    </fill>
    <fill>
      <gradientFill degree="90">
        <stop position="0">
          <color theme="2" tint="-0.25098422193060094"/>
        </stop>
        <stop position="1">
          <color rgb="FFDCAFE3"/>
        </stop>
      </gradientFill>
    </fill>
    <fill>
      <gradientFill degree="270">
        <stop position="0">
          <color theme="2" tint="-0.25098422193060094"/>
        </stop>
        <stop position="1">
          <color rgb="FFDCAFE3"/>
        </stop>
      </gradientFill>
    </fill>
    <fill>
      <gradientFill degree="90">
        <stop position="0">
          <color theme="2" tint="-0.25098422193060094"/>
        </stop>
        <stop position="1">
          <color theme="3" tint="9.8025452436902985E-2"/>
        </stop>
      </gradientFill>
    </fill>
    <fill>
      <gradientFill degree="270">
        <stop position="0">
          <color theme="2" tint="-0.25098422193060094"/>
        </stop>
        <stop position="1">
          <color theme="3" tint="9.8025452436902985E-2"/>
        </stop>
      </gradientFill>
    </fill>
    <fill>
      <gradientFill degree="90">
        <stop position="0">
          <color theme="2" tint="-0.25098422193060094"/>
        </stop>
        <stop position="1">
          <color theme="9"/>
        </stop>
      </gradientFill>
    </fill>
    <fill>
      <gradientFill degree="270">
        <stop position="0">
          <color theme="2" tint="-0.25098422193060094"/>
        </stop>
        <stop position="1">
          <color theme="9"/>
        </stop>
      </gradientFill>
    </fill>
    <fill>
      <gradientFill degree="45">
        <stop position="0">
          <color theme="0"/>
        </stop>
        <stop position="0.5">
          <color theme="9"/>
        </stop>
        <stop position="1">
          <color theme="0"/>
        </stop>
      </gradientFill>
    </fill>
    <fill>
      <gradientFill degree="90">
        <stop position="0">
          <color theme="2" tint="-0.25098422193060094"/>
        </stop>
        <stop position="1">
          <color rgb="FF0070C0"/>
        </stop>
      </gradientFill>
    </fill>
    <fill>
      <gradientFill degree="270">
        <stop position="0">
          <color theme="2" tint="-0.25098422193060094"/>
        </stop>
        <stop position="1">
          <color rgb="FF0070C0"/>
        </stop>
      </gradientFill>
    </fill>
    <fill>
      <gradientFill degree="90">
        <stop position="0">
          <color theme="0"/>
        </stop>
        <stop position="1">
          <color theme="5" tint="-0.49803155613879818"/>
        </stop>
      </gradientFill>
    </fill>
    <fill>
      <gradientFill degree="270">
        <stop position="0">
          <color theme="0"/>
        </stop>
        <stop position="1">
          <color theme="5" tint="-0.49803155613879818"/>
        </stop>
      </gradientFill>
    </fill>
    <fill>
      <gradientFill degree="45">
        <stop position="0">
          <color theme="0"/>
        </stop>
        <stop position="0.5">
          <color theme="5" tint="-0.49803155613879818"/>
        </stop>
        <stop position="1">
          <color theme="0"/>
        </stop>
      </gradientFill>
    </fill>
    <fill>
      <gradientFill degree="45">
        <stop position="0">
          <color theme="2" tint="-0.25098422193060094"/>
        </stop>
        <stop position="0.5">
          <color rgb="FFDCAFE3"/>
        </stop>
        <stop position="1">
          <color theme="2" tint="-0.25098422193060094"/>
        </stop>
      </gradientFill>
    </fill>
    <fill>
      <gradientFill degree="45">
        <stop position="0">
          <color theme="2" tint="-0.25098422193060094"/>
        </stop>
        <stop position="0.5">
          <color rgb="FF0070C0"/>
        </stop>
        <stop position="1">
          <color theme="2" tint="-0.25098422193060094"/>
        </stop>
      </gradient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52727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ck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ck">
        <color theme="5" tint="-0.499984740745262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ck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theme="4"/>
      </bottom>
      <diagonal/>
    </border>
    <border>
      <left style="thin">
        <color rgb="FFB96363"/>
      </left>
      <right/>
      <top style="thin">
        <color rgb="FFB96363"/>
      </top>
      <bottom style="thick">
        <color rgb="FFB96363"/>
      </bottom>
      <diagonal/>
    </border>
    <border>
      <left/>
      <right/>
      <top style="thin">
        <color rgb="FFB96363"/>
      </top>
      <bottom style="thick">
        <color rgb="FFB96363"/>
      </bottom>
      <diagonal/>
    </border>
    <border>
      <left/>
      <right style="thick">
        <color rgb="FFB96363"/>
      </right>
      <top style="thin">
        <color rgb="FFB96363"/>
      </top>
      <bottom style="thick">
        <color rgb="FFB96363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/>
      <bottom style="thick">
        <color theme="8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theme="6" tint="-0.24994659260841701"/>
      </right>
      <top style="thin">
        <color rgb="FF7030A0"/>
      </top>
      <bottom style="thin">
        <color rgb="FF660066"/>
      </bottom>
      <diagonal/>
    </border>
    <border>
      <left style="thin">
        <color rgb="FF51154A"/>
      </left>
      <right style="thin">
        <color rgb="FF51154A"/>
      </right>
      <top style="thin">
        <color rgb="FF51154A"/>
      </top>
      <bottom style="thin">
        <color rgb="FF51154A"/>
      </bottom>
      <diagonal/>
    </border>
    <border>
      <left/>
      <right style="thin">
        <color rgb="FF51154A"/>
      </right>
      <top style="thin">
        <color rgb="FF51154A"/>
      </top>
      <bottom style="thin">
        <color rgb="FF51154A"/>
      </bottom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ck">
        <color theme="7" tint="-0.499984740745262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/>
      <diagonal/>
    </border>
    <border>
      <left style="thin">
        <color theme="6" tint="-0.499984740745262"/>
      </left>
      <right style="thick">
        <color theme="6" tint="-0.499984740745262"/>
      </right>
      <top style="thin">
        <color theme="6" tint="-0.499984740745262"/>
      </top>
      <bottom style="thick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ck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ck">
        <color theme="6" tint="-0.499984740745262"/>
      </bottom>
      <diagonal/>
    </border>
    <border>
      <left style="thin">
        <color theme="3" tint="9.9948118533890809E-2"/>
      </left>
      <right style="thick">
        <color theme="3" tint="9.9948118533890809E-2"/>
      </right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 style="thick">
        <color theme="3" tint="9.9948118533890809E-2"/>
      </right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/>
      <bottom style="thin">
        <color theme="3" tint="9.9948118533890809E-2"/>
      </bottom>
      <diagonal/>
    </border>
    <border>
      <left style="thin">
        <color rgb="FF0D3512"/>
      </left>
      <right style="thin">
        <color rgb="FF0D3512"/>
      </right>
      <top/>
      <bottom style="thin">
        <color rgb="FF0D3512"/>
      </bottom>
      <diagonal/>
    </border>
    <border>
      <left style="thin">
        <color theme="3" tint="9.9948118533890809E-2"/>
      </left>
      <right style="thick">
        <color theme="3" tint="9.9948118533890809E-2"/>
      </right>
      <top/>
      <bottom style="thin">
        <color theme="3" tint="9.9948118533890809E-2"/>
      </bottom>
      <diagonal/>
    </border>
    <border>
      <left style="thin">
        <color theme="4"/>
      </left>
      <right/>
      <top/>
      <bottom style="thin">
        <color indexed="64"/>
      </bottom>
      <diagonal/>
    </border>
    <border>
      <left/>
      <right style="thick">
        <color theme="4"/>
      </right>
      <top/>
      <bottom style="thin">
        <color indexed="64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ck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ck">
        <color theme="9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theme="4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ck">
        <color theme="4"/>
      </right>
      <top/>
      <bottom style="thin">
        <color rgb="FF0070C0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rgb="FFDCAFE3"/>
      </left>
      <right style="thick">
        <color rgb="FFDCAFE3"/>
      </right>
      <top style="thin">
        <color rgb="FFDCAFE3"/>
      </top>
      <bottom style="thick">
        <color rgb="FFDCAFE3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 style="thin">
        <color rgb="FFDCAFE3"/>
      </bottom>
      <diagonal/>
    </border>
    <border>
      <left style="thin">
        <color rgb="FFDCAFE3"/>
      </left>
      <right style="thick">
        <color rgb="FFDCAFE3"/>
      </right>
      <top style="thin">
        <color rgb="FFDCAFE3"/>
      </top>
      <bottom style="thin">
        <color rgb="FFDCAFE3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 style="thick">
        <color rgb="FFDCAFE3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275317"/>
      </left>
      <right style="thin">
        <color rgb="FF275317"/>
      </right>
      <top style="thin">
        <color rgb="FF275317"/>
      </top>
      <bottom style="thin">
        <color rgb="FF275317"/>
      </bottom>
      <diagonal/>
    </border>
    <border>
      <left/>
      <right style="thin">
        <color rgb="FF275317"/>
      </right>
      <top style="thin">
        <color rgb="FF275317"/>
      </top>
      <bottom style="thin">
        <color rgb="FF275317"/>
      </bottom>
      <diagonal/>
    </border>
    <border>
      <left/>
      <right style="thick">
        <color rgb="FF275317"/>
      </right>
      <top style="thin">
        <color rgb="FF275317"/>
      </top>
      <bottom style="thin">
        <color rgb="FF275317"/>
      </bottom>
      <diagonal/>
    </border>
    <border>
      <left style="thin">
        <color rgb="FF275317"/>
      </left>
      <right style="thin">
        <color rgb="FF275317"/>
      </right>
      <top/>
      <bottom style="thin">
        <color rgb="FF275317"/>
      </bottom>
      <diagonal/>
    </border>
    <border>
      <left/>
      <right style="thin">
        <color rgb="FF275317"/>
      </right>
      <top/>
      <bottom style="thin">
        <color rgb="FF275317"/>
      </bottom>
      <diagonal/>
    </border>
    <border>
      <left/>
      <right style="thick">
        <color rgb="FF275317"/>
      </right>
      <top/>
      <bottom style="thin">
        <color rgb="FF275317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ck">
        <color theme="9" tint="-0.499984740745262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ck">
        <color rgb="FFC00000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ck">
        <color theme="7" tint="-0.499984740745262"/>
      </bottom>
      <diagonal/>
    </border>
    <border>
      <left style="thin">
        <color theme="3" tint="9.9948118533890809E-2"/>
      </left>
      <right/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/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rgb="FFDCAFE3"/>
      </left>
      <right/>
      <top style="thin">
        <color rgb="FFDCAFE3"/>
      </top>
      <bottom style="thin">
        <color rgb="FFDCAFE3"/>
      </bottom>
      <diagonal/>
    </border>
    <border>
      <left style="thin">
        <color rgb="FFDCAFE3"/>
      </left>
      <right/>
      <top style="thin">
        <color rgb="FFDCAFE3"/>
      </top>
      <bottom style="thick">
        <color rgb="FFDCAFE3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ck">
        <color theme="9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ck">
        <color rgb="FF007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FF0000"/>
      </left>
      <right style="thin">
        <color rgb="FFC0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C0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FF0000"/>
      </right>
      <top/>
      <bottom style="thin">
        <color rgb="FFFF0000"/>
      </bottom>
      <diagonal/>
    </border>
  </borders>
  <cellStyleXfs count="32">
    <xf numFmtId="0" fontId="0" fillId="0" borderId="0"/>
    <xf numFmtId="9" fontId="2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8">
    <xf numFmtId="0" fontId="0" fillId="0" borderId="0" xfId="0"/>
    <xf numFmtId="0" fontId="1" fillId="0" borderId="0" xfId="0" applyFont="1"/>
    <xf numFmtId="0" fontId="12" fillId="5" borderId="2" xfId="0" applyFont="1" applyFill="1" applyBorder="1" applyAlignment="1">
      <alignment horizontal="center" vertical="center"/>
    </xf>
    <xf numFmtId="0" fontId="13" fillId="0" borderId="1" xfId="0" applyFont="1" applyBorder="1"/>
    <xf numFmtId="0" fontId="3" fillId="5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" fillId="10" borderId="0" xfId="0" applyFont="1" applyFill="1"/>
    <xf numFmtId="0" fontId="1" fillId="10" borderId="0" xfId="0" quotePrefix="1" applyFont="1" applyFill="1"/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9" fontId="1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9" fontId="1" fillId="0" borderId="9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9" fontId="1" fillId="0" borderId="11" xfId="1" applyFont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12" xfId="0" applyFont="1" applyBorder="1"/>
    <xf numFmtId="0" fontId="16" fillId="3" borderId="25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/>
    </xf>
    <xf numFmtId="0" fontId="5" fillId="0" borderId="27" xfId="0" applyFont="1" applyBorder="1"/>
    <xf numFmtId="0" fontId="5" fillId="0" borderId="13" xfId="0" applyFont="1" applyBorder="1"/>
    <xf numFmtId="0" fontId="16" fillId="6" borderId="33" xfId="0" applyFont="1" applyFill="1" applyBorder="1" applyAlignment="1">
      <alignment horizontal="center" vertical="center" wrapText="1"/>
    </xf>
    <xf numFmtId="0" fontId="16" fillId="7" borderId="33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1" fillId="0" borderId="35" xfId="0" applyFont="1" applyBorder="1"/>
    <xf numFmtId="0" fontId="1" fillId="0" borderId="32" xfId="0" applyFont="1" applyBorder="1"/>
    <xf numFmtId="0" fontId="5" fillId="0" borderId="33" xfId="0" applyFont="1" applyBorder="1"/>
    <xf numFmtId="0" fontId="4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 wrapText="1"/>
    </xf>
    <xf numFmtId="0" fontId="16" fillId="16" borderId="42" xfId="0" applyFont="1" applyFill="1" applyBorder="1" applyAlignment="1">
      <alignment horizontal="center" vertical="center"/>
    </xf>
    <xf numFmtId="0" fontId="16" fillId="16" borderId="43" xfId="0" applyFont="1" applyFill="1" applyBorder="1" applyAlignment="1">
      <alignment horizontal="center" vertical="center"/>
    </xf>
    <xf numFmtId="0" fontId="5" fillId="0" borderId="44" xfId="0" applyFont="1" applyBorder="1"/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5" xfId="0" applyFont="1" applyBorder="1" applyAlignment="1">
      <alignment horizontal="center" vertical="center"/>
    </xf>
    <xf numFmtId="0" fontId="16" fillId="6" borderId="44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6" fillId="8" borderId="44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1" fillId="0" borderId="38" xfId="0" applyFont="1" applyBorder="1"/>
    <xf numFmtId="0" fontId="5" fillId="0" borderId="44" xfId="0" applyFont="1" applyBorder="1" applyAlignment="1">
      <alignment horizontal="center"/>
    </xf>
    <xf numFmtId="0" fontId="5" fillId="0" borderId="0" xfId="0" applyFont="1"/>
    <xf numFmtId="0" fontId="5" fillId="0" borderId="46" xfId="0" applyFont="1" applyBorder="1" applyAlignment="1">
      <alignment horizontal="center" vertical="center"/>
    </xf>
    <xf numFmtId="0" fontId="1" fillId="0" borderId="46" xfId="0" applyFont="1" applyBorder="1"/>
    <xf numFmtId="0" fontId="16" fillId="19" borderId="42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16" fillId="22" borderId="25" xfId="0" applyFont="1" applyFill="1" applyBorder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 wrapText="1"/>
    </xf>
    <xf numFmtId="0" fontId="16" fillId="22" borderId="26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0" xfId="0" applyFont="1" applyBorder="1"/>
    <xf numFmtId="0" fontId="16" fillId="6" borderId="51" xfId="0" applyFont="1" applyFill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7" fillId="4" borderId="52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1" fillId="0" borderId="53" xfId="0" applyFont="1" applyBorder="1"/>
    <xf numFmtId="0" fontId="16" fillId="6" borderId="55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 wrapText="1"/>
    </xf>
    <xf numFmtId="0" fontId="16" fillId="8" borderId="55" xfId="0" applyFont="1" applyFill="1" applyBorder="1" applyAlignment="1">
      <alignment horizontal="center" vertical="center" wrapText="1"/>
    </xf>
    <xf numFmtId="0" fontId="17" fillId="4" borderId="56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 wrapText="1"/>
    </xf>
    <xf numFmtId="0" fontId="1" fillId="0" borderId="57" xfId="0" applyFont="1" applyBorder="1"/>
    <xf numFmtId="0" fontId="1" fillId="0" borderId="54" xfId="0" applyFont="1" applyBorder="1"/>
    <xf numFmtId="0" fontId="16" fillId="19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 wrapText="1"/>
    </xf>
    <xf numFmtId="0" fontId="16" fillId="19" borderId="58" xfId="0" applyFont="1" applyFill="1" applyBorder="1" applyAlignment="1">
      <alignment horizontal="center" vertical="center"/>
    </xf>
    <xf numFmtId="0" fontId="5" fillId="0" borderId="55" xfId="0" applyFont="1" applyBorder="1"/>
    <xf numFmtId="0" fontId="5" fillId="0" borderId="55" xfId="0" applyFont="1" applyBorder="1" applyAlignment="1">
      <alignment horizontal="center"/>
    </xf>
    <xf numFmtId="0" fontId="20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/>
    <xf numFmtId="0" fontId="5" fillId="0" borderId="57" xfId="0" applyFont="1" applyBorder="1" applyAlignment="1">
      <alignment horizontal="center"/>
    </xf>
    <xf numFmtId="0" fontId="5" fillId="0" borderId="5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16" fillId="26" borderId="25" xfId="0" applyFont="1" applyFill="1" applyBorder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 wrapText="1"/>
    </xf>
    <xf numFmtId="0" fontId="16" fillId="26" borderId="26" xfId="0" applyFont="1" applyFill="1" applyBorder="1" applyAlignment="1">
      <alignment horizontal="center" vertical="center"/>
    </xf>
    <xf numFmtId="0" fontId="5" fillId="0" borderId="62" xfId="0" applyFont="1" applyBorder="1"/>
    <xf numFmtId="0" fontId="5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7" fillId="27" borderId="6" xfId="3" applyFont="1" applyFill="1" applyBorder="1" applyAlignment="1">
      <alignment horizontal="center" vertical="center" wrapText="1"/>
    </xf>
    <xf numFmtId="0" fontId="7" fillId="28" borderId="8" xfId="3" applyFont="1" applyFill="1" applyBorder="1" applyAlignment="1">
      <alignment horizontal="center" vertical="center" wrapText="1"/>
    </xf>
    <xf numFmtId="0" fontId="7" fillId="29" borderId="8" xfId="3" applyFont="1" applyFill="1" applyBorder="1" applyAlignment="1">
      <alignment horizontal="center" vertical="center" wrapText="1"/>
    </xf>
    <xf numFmtId="0" fontId="7" fillId="30" borderId="8" xfId="3" applyFont="1" applyFill="1" applyBorder="1" applyAlignment="1">
      <alignment horizontal="center" vertical="center" wrapText="1"/>
    </xf>
    <xf numFmtId="0" fontId="7" fillId="31" borderId="8" xfId="3" applyFont="1" applyFill="1" applyBorder="1" applyAlignment="1">
      <alignment horizontal="center" vertical="center" wrapText="1"/>
    </xf>
    <xf numFmtId="0" fontId="7" fillId="32" borderId="8" xfId="3" applyFont="1" applyFill="1" applyBorder="1" applyAlignment="1">
      <alignment horizontal="center" vertical="center" wrapText="1"/>
    </xf>
    <xf numFmtId="0" fontId="7" fillId="33" borderId="8" xfId="3" applyFont="1" applyFill="1" applyBorder="1" applyAlignment="1">
      <alignment horizontal="center" vertical="center" wrapText="1"/>
    </xf>
    <xf numFmtId="0" fontId="7" fillId="34" borderId="8" xfId="3" applyFont="1" applyFill="1" applyBorder="1" applyAlignment="1">
      <alignment horizontal="center" vertical="center" wrapText="1"/>
    </xf>
    <xf numFmtId="0" fontId="7" fillId="35" borderId="8" xfId="3" applyFont="1" applyFill="1" applyBorder="1" applyAlignment="1">
      <alignment horizontal="center" vertical="center" wrapText="1"/>
    </xf>
    <xf numFmtId="0" fontId="7" fillId="36" borderId="8" xfId="3" applyFont="1" applyFill="1" applyBorder="1" applyAlignment="1">
      <alignment horizontal="center" vertical="center" wrapText="1"/>
    </xf>
    <xf numFmtId="0" fontId="7" fillId="37" borderId="8" xfId="3" applyFont="1" applyFill="1" applyBorder="1" applyAlignment="1">
      <alignment horizontal="center" vertical="center" wrapText="1"/>
    </xf>
    <xf numFmtId="0" fontId="7" fillId="38" borderId="10" xfId="3" applyFont="1" applyFill="1" applyBorder="1" applyAlignment="1">
      <alignment horizontal="center" vertical="center" wrapText="1"/>
    </xf>
    <xf numFmtId="0" fontId="16" fillId="39" borderId="6" xfId="0" applyFont="1" applyFill="1" applyBorder="1" applyAlignment="1">
      <alignment horizontal="center" vertical="center" wrapText="1"/>
    </xf>
    <xf numFmtId="0" fontId="16" fillId="40" borderId="6" xfId="0" applyFont="1" applyFill="1" applyBorder="1" applyAlignment="1">
      <alignment horizontal="center" vertical="center" wrapText="1"/>
    </xf>
    <xf numFmtId="0" fontId="16" fillId="41" borderId="6" xfId="0" applyFont="1" applyFill="1" applyBorder="1" applyAlignment="1">
      <alignment horizontal="center" vertical="center" wrapText="1"/>
    </xf>
    <xf numFmtId="0" fontId="3" fillId="42" borderId="0" xfId="3" applyFont="1" applyFill="1" applyBorder="1" applyAlignment="1">
      <alignment horizontal="center" vertical="center"/>
    </xf>
    <xf numFmtId="0" fontId="3" fillId="42" borderId="5" xfId="3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5" fillId="0" borderId="66" xfId="0" applyFont="1" applyBorder="1"/>
    <xf numFmtId="0" fontId="5" fillId="0" borderId="6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5" xfId="0" applyFont="1" applyBorder="1"/>
    <xf numFmtId="0" fontId="16" fillId="6" borderId="66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 wrapText="1"/>
    </xf>
    <xf numFmtId="0" fontId="16" fillId="8" borderId="66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1" fillId="0" borderId="68" xfId="0" applyFont="1" applyBorder="1"/>
    <xf numFmtId="0" fontId="16" fillId="46" borderId="25" xfId="0" applyFont="1" applyFill="1" applyBorder="1" applyAlignment="1">
      <alignment horizontal="center" vertical="center"/>
    </xf>
    <xf numFmtId="0" fontId="16" fillId="46" borderId="0" xfId="0" applyFont="1" applyFill="1" applyAlignment="1">
      <alignment horizontal="center" vertical="center"/>
    </xf>
    <xf numFmtId="0" fontId="16" fillId="46" borderId="0" xfId="0" applyFont="1" applyFill="1" applyAlignment="1">
      <alignment horizontal="center" vertical="center" wrapText="1"/>
    </xf>
    <xf numFmtId="0" fontId="16" fillId="46" borderId="26" xfId="0" applyFont="1" applyFill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5" fillId="0" borderId="69" xfId="0" applyFont="1" applyBorder="1"/>
    <xf numFmtId="0" fontId="5" fillId="0" borderId="6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7" fillId="48" borderId="72" xfId="0" applyFont="1" applyFill="1" applyBorder="1" applyAlignment="1">
      <alignment horizontal="center" vertical="center"/>
    </xf>
    <xf numFmtId="0" fontId="7" fillId="48" borderId="2" xfId="0" applyFont="1" applyFill="1" applyBorder="1" applyAlignment="1">
      <alignment horizontal="center" vertical="center"/>
    </xf>
    <xf numFmtId="0" fontId="7" fillId="48" borderId="2" xfId="0" applyFont="1" applyFill="1" applyBorder="1" applyAlignment="1">
      <alignment horizontal="center" vertical="center" wrapText="1"/>
    </xf>
    <xf numFmtId="0" fontId="7" fillId="48" borderId="73" xfId="0" applyFont="1" applyFill="1" applyBorder="1" applyAlignment="1">
      <alignment horizontal="center" vertical="center"/>
    </xf>
    <xf numFmtId="0" fontId="5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4" xfId="0" applyFont="1" applyBorder="1"/>
    <xf numFmtId="0" fontId="16" fillId="6" borderId="75" xfId="0" applyFont="1" applyFill="1" applyBorder="1" applyAlignment="1">
      <alignment horizontal="center" vertical="center" wrapText="1"/>
    </xf>
    <xf numFmtId="0" fontId="16" fillId="7" borderId="75" xfId="0" applyFont="1" applyFill="1" applyBorder="1" applyAlignment="1">
      <alignment horizontal="center" vertical="center" wrapText="1"/>
    </xf>
    <xf numFmtId="0" fontId="16" fillId="8" borderId="75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 wrapText="1"/>
    </xf>
    <xf numFmtId="0" fontId="1" fillId="0" borderId="77" xfId="0" applyFont="1" applyBorder="1"/>
    <xf numFmtId="0" fontId="7" fillId="50" borderId="25" xfId="0" applyFont="1" applyFill="1" applyBorder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7" fillId="50" borderId="0" xfId="0" applyFont="1" applyFill="1" applyAlignment="1">
      <alignment horizontal="center" vertical="center" wrapText="1"/>
    </xf>
    <xf numFmtId="0" fontId="7" fillId="50" borderId="26" xfId="0" applyFont="1" applyFill="1" applyBorder="1" applyAlignment="1">
      <alignment horizontal="center" vertical="center"/>
    </xf>
    <xf numFmtId="0" fontId="5" fillId="0" borderId="79" xfId="0" applyFont="1" applyBorder="1"/>
    <xf numFmtId="0" fontId="5" fillId="0" borderId="79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1" fillId="0" borderId="80" xfId="0" applyFont="1" applyBorder="1"/>
    <xf numFmtId="0" fontId="1" fillId="0" borderId="78" xfId="0" applyFont="1" applyBorder="1"/>
    <xf numFmtId="0" fontId="7" fillId="53" borderId="82" xfId="0" applyFont="1" applyFill="1" applyBorder="1" applyAlignment="1">
      <alignment horizontal="center" vertical="center"/>
    </xf>
    <xf numFmtId="0" fontId="7" fillId="53" borderId="83" xfId="0" applyFont="1" applyFill="1" applyBorder="1" applyAlignment="1">
      <alignment horizontal="center" vertical="center"/>
    </xf>
    <xf numFmtId="0" fontId="7" fillId="53" borderId="83" xfId="0" applyFont="1" applyFill="1" applyBorder="1" applyAlignment="1">
      <alignment horizontal="center" vertical="center" wrapText="1"/>
    </xf>
    <xf numFmtId="0" fontId="7" fillId="53" borderId="84" xfId="0" applyFont="1" applyFill="1" applyBorder="1" applyAlignment="1">
      <alignment horizontal="center" vertical="center"/>
    </xf>
    <xf numFmtId="0" fontId="16" fillId="55" borderId="25" xfId="0" applyFont="1" applyFill="1" applyBorder="1" applyAlignment="1">
      <alignment horizontal="center" vertical="center"/>
    </xf>
    <xf numFmtId="0" fontId="16" fillId="55" borderId="0" xfId="0" applyFont="1" applyFill="1" applyAlignment="1">
      <alignment horizontal="center" vertical="center"/>
    </xf>
    <xf numFmtId="0" fontId="16" fillId="55" borderId="0" xfId="0" applyFont="1" applyFill="1" applyAlignment="1">
      <alignment horizontal="center" vertical="center" wrapText="1"/>
    </xf>
    <xf numFmtId="0" fontId="16" fillId="55" borderId="26" xfId="0" applyFont="1" applyFill="1" applyBorder="1" applyAlignment="1">
      <alignment horizontal="center" vertical="center"/>
    </xf>
    <xf numFmtId="0" fontId="5" fillId="0" borderId="86" xfId="0" applyFont="1" applyBorder="1"/>
    <xf numFmtId="0" fontId="5" fillId="0" borderId="86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/>
    </xf>
    <xf numFmtId="0" fontId="1" fillId="0" borderId="87" xfId="0" applyFont="1" applyBorder="1"/>
    <xf numFmtId="0" fontId="1" fillId="0" borderId="88" xfId="0" applyFont="1" applyBorder="1" applyAlignment="1">
      <alignment horizontal="center" vertical="center"/>
    </xf>
    <xf numFmtId="0" fontId="1" fillId="0" borderId="85" xfId="0" applyFont="1" applyBorder="1"/>
    <xf numFmtId="0" fontId="16" fillId="6" borderId="86" xfId="0" applyFont="1" applyFill="1" applyBorder="1" applyAlignment="1">
      <alignment horizontal="center" vertical="center" wrapText="1"/>
    </xf>
    <xf numFmtId="0" fontId="16" fillId="7" borderId="86" xfId="0" applyFont="1" applyFill="1" applyBorder="1" applyAlignment="1">
      <alignment horizontal="center" vertical="center" wrapText="1"/>
    </xf>
    <xf numFmtId="0" fontId="16" fillId="8" borderId="86" xfId="0" applyFont="1" applyFill="1" applyBorder="1" applyAlignment="1">
      <alignment horizontal="center" vertical="center" wrapText="1"/>
    </xf>
    <xf numFmtId="0" fontId="17" fillId="4" borderId="87" xfId="0" applyFont="1" applyFill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 wrapText="1"/>
    </xf>
    <xf numFmtId="0" fontId="1" fillId="0" borderId="88" xfId="0" applyFont="1" applyBorder="1"/>
    <xf numFmtId="0" fontId="16" fillId="6" borderId="90" xfId="0" applyFont="1" applyFill="1" applyBorder="1" applyAlignment="1">
      <alignment horizontal="center" vertical="center" wrapText="1"/>
    </xf>
    <xf numFmtId="0" fontId="16" fillId="7" borderId="90" xfId="0" applyFont="1" applyFill="1" applyBorder="1" applyAlignment="1">
      <alignment horizontal="center" vertical="center" wrapText="1"/>
    </xf>
    <xf numFmtId="0" fontId="16" fillId="8" borderId="90" xfId="0" applyFont="1" applyFill="1" applyBorder="1" applyAlignment="1">
      <alignment horizontal="center" vertical="center" wrapText="1"/>
    </xf>
    <xf numFmtId="0" fontId="17" fillId="4" borderId="91" xfId="0" applyFont="1" applyFill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 wrapText="1"/>
    </xf>
    <xf numFmtId="0" fontId="1" fillId="0" borderId="92" xfId="0" applyFont="1" applyBorder="1"/>
    <xf numFmtId="0" fontId="1" fillId="0" borderId="89" xfId="0" applyFont="1" applyBorder="1"/>
    <xf numFmtId="0" fontId="5" fillId="0" borderId="90" xfId="0" applyFont="1" applyBorder="1"/>
    <xf numFmtId="0" fontId="4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1" fillId="0" borderId="91" xfId="0" applyFont="1" applyBorder="1"/>
    <xf numFmtId="0" fontId="16" fillId="6" borderId="79" xfId="0" applyFont="1" applyFill="1" applyBorder="1" applyAlignment="1">
      <alignment horizontal="center" vertical="center" wrapText="1"/>
    </xf>
    <xf numFmtId="0" fontId="16" fillId="7" borderId="79" xfId="0" applyFont="1" applyFill="1" applyBorder="1" applyAlignment="1">
      <alignment horizontal="center" vertical="center" wrapText="1"/>
    </xf>
    <xf numFmtId="0" fontId="16" fillId="8" borderId="79" xfId="0" applyFont="1" applyFill="1" applyBorder="1" applyAlignment="1">
      <alignment horizontal="center" vertical="center" wrapText="1"/>
    </xf>
    <xf numFmtId="0" fontId="17" fillId="4" borderId="80" xfId="0" applyFont="1" applyFill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 wrapText="1"/>
    </xf>
    <xf numFmtId="0" fontId="1" fillId="0" borderId="81" xfId="0" applyFont="1" applyBorder="1"/>
    <xf numFmtId="0" fontId="16" fillId="40" borderId="88" xfId="0" applyFont="1" applyFill="1" applyBorder="1" applyAlignment="1">
      <alignment horizontal="center" vertical="center" wrapText="1"/>
    </xf>
    <xf numFmtId="0" fontId="16" fillId="39" borderId="88" xfId="0" applyFont="1" applyFill="1" applyBorder="1" applyAlignment="1">
      <alignment horizontal="center" vertical="center" wrapText="1"/>
    </xf>
    <xf numFmtId="0" fontId="16" fillId="41" borderId="88" xfId="0" applyFont="1" applyFill="1" applyBorder="1" applyAlignment="1">
      <alignment horizontal="center" vertical="center" wrapText="1"/>
    </xf>
    <xf numFmtId="0" fontId="1" fillId="59" borderId="0" xfId="0" applyFont="1" applyFill="1"/>
    <xf numFmtId="0" fontId="5" fillId="59" borderId="79" xfId="0" applyFont="1" applyFill="1" applyBorder="1"/>
    <xf numFmtId="0" fontId="5" fillId="59" borderId="79" xfId="0" applyFont="1" applyFill="1" applyBorder="1" applyAlignment="1">
      <alignment horizontal="center" vertical="center"/>
    </xf>
    <xf numFmtId="0" fontId="4" fillId="59" borderId="79" xfId="0" applyFont="1" applyFill="1" applyBorder="1" applyAlignment="1">
      <alignment horizontal="center" vertical="center"/>
    </xf>
    <xf numFmtId="0" fontId="5" fillId="60" borderId="79" xfId="0" applyFont="1" applyFill="1" applyBorder="1"/>
    <xf numFmtId="0" fontId="5" fillId="60" borderId="79" xfId="0" applyFont="1" applyFill="1" applyBorder="1" applyAlignment="1">
      <alignment horizontal="center" vertical="center"/>
    </xf>
    <xf numFmtId="0" fontId="4" fillId="60" borderId="79" xfId="0" applyFont="1" applyFill="1" applyBorder="1" applyAlignment="1">
      <alignment horizontal="center" vertical="center"/>
    </xf>
    <xf numFmtId="0" fontId="1" fillId="60" borderId="80" xfId="0" applyFont="1" applyFill="1" applyBorder="1"/>
    <xf numFmtId="0" fontId="1" fillId="60" borderId="0" xfId="0" applyFont="1" applyFill="1"/>
    <xf numFmtId="0" fontId="1" fillId="59" borderId="80" xfId="0" applyFont="1" applyFill="1" applyBorder="1"/>
    <xf numFmtId="0" fontId="5" fillId="60" borderId="13" xfId="0" applyFont="1" applyFill="1" applyBorder="1"/>
    <xf numFmtId="0" fontId="5" fillId="60" borderId="13" xfId="0" applyFont="1" applyFill="1" applyBorder="1" applyAlignment="1">
      <alignment horizontal="center" vertical="center"/>
    </xf>
    <xf numFmtId="0" fontId="4" fillId="60" borderId="13" xfId="0" applyFont="1" applyFill="1" applyBorder="1" applyAlignment="1">
      <alignment horizontal="center" vertical="center"/>
    </xf>
    <xf numFmtId="0" fontId="5" fillId="60" borderId="14" xfId="0" applyFont="1" applyFill="1" applyBorder="1" applyAlignment="1">
      <alignment horizontal="center" vertical="center"/>
    </xf>
    <xf numFmtId="0" fontId="5" fillId="60" borderId="27" xfId="0" applyFont="1" applyFill="1" applyBorder="1" applyAlignment="1">
      <alignment horizontal="center" vertical="center"/>
    </xf>
    <xf numFmtId="0" fontId="5" fillId="59" borderId="15" xfId="0" applyFont="1" applyFill="1" applyBorder="1"/>
    <xf numFmtId="0" fontId="5" fillId="59" borderId="15" xfId="0" applyFont="1" applyFill="1" applyBorder="1" applyAlignment="1">
      <alignment horizontal="center" vertical="center"/>
    </xf>
    <xf numFmtId="0" fontId="4" fillId="59" borderId="15" xfId="0" applyFont="1" applyFill="1" applyBorder="1" applyAlignment="1">
      <alignment horizontal="center" vertical="center"/>
    </xf>
    <xf numFmtId="0" fontId="5" fillId="59" borderId="12" xfId="0" applyFont="1" applyFill="1" applyBorder="1" applyAlignment="1">
      <alignment horizontal="center" vertical="center"/>
    </xf>
    <xf numFmtId="0" fontId="5" fillId="61" borderId="13" xfId="0" applyFont="1" applyFill="1" applyBorder="1"/>
    <xf numFmtId="0" fontId="5" fillId="61" borderId="13" xfId="0" applyFont="1" applyFill="1" applyBorder="1" applyAlignment="1">
      <alignment horizontal="center" vertical="center"/>
    </xf>
    <xf numFmtId="0" fontId="0" fillId="61" borderId="3" xfId="0" applyFill="1" applyBorder="1" applyAlignment="1">
      <alignment horizontal="center" vertical="center"/>
    </xf>
    <xf numFmtId="0" fontId="4" fillId="61" borderId="13" xfId="0" applyFont="1" applyFill="1" applyBorder="1" applyAlignment="1">
      <alignment horizontal="center" vertical="center"/>
    </xf>
    <xf numFmtId="0" fontId="5" fillId="61" borderId="14" xfId="0" applyFont="1" applyFill="1" applyBorder="1" applyAlignment="1">
      <alignment horizontal="center" vertical="center"/>
    </xf>
    <xf numFmtId="0" fontId="1" fillId="61" borderId="0" xfId="0" applyFont="1" applyFill="1"/>
    <xf numFmtId="0" fontId="2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3" fillId="0" borderId="94" xfId="0" applyFont="1" applyBorder="1" applyAlignment="1">
      <alignment horizontal="left"/>
    </xf>
    <xf numFmtId="0" fontId="23" fillId="0" borderId="95" xfId="0" applyFont="1" applyBorder="1" applyAlignment="1">
      <alignment horizontal="left"/>
    </xf>
    <xf numFmtId="0" fontId="0" fillId="0" borderId="96" xfId="0" applyBorder="1" applyAlignment="1">
      <alignment horizontal="right"/>
    </xf>
    <xf numFmtId="0" fontId="23" fillId="0" borderId="97" xfId="0" applyFont="1" applyBorder="1" applyAlignment="1">
      <alignment horizontal="left"/>
    </xf>
    <xf numFmtId="0" fontId="0" fillId="0" borderId="98" xfId="0" applyBorder="1" applyAlignment="1">
      <alignment horizontal="right"/>
    </xf>
    <xf numFmtId="0" fontId="4" fillId="59" borderId="62" xfId="0" applyFont="1" applyFill="1" applyBorder="1" applyAlignment="1">
      <alignment horizontal="center" vertical="center"/>
    </xf>
    <xf numFmtId="0" fontId="5" fillId="59" borderId="63" xfId="0" applyFont="1" applyFill="1" applyBorder="1" applyAlignment="1">
      <alignment horizontal="center" vertical="center"/>
    </xf>
    <xf numFmtId="0" fontId="1" fillId="0" borderId="99" xfId="0" applyFont="1" applyBorder="1"/>
    <xf numFmtId="0" fontId="1" fillId="59" borderId="63" xfId="0" applyFont="1" applyFill="1" applyBorder="1"/>
    <xf numFmtId="0" fontId="5" fillId="0" borderId="90" xfId="0" applyFont="1" applyBorder="1" applyAlignment="1">
      <alignment horizontal="center" vertical="center" wrapText="1"/>
    </xf>
    <xf numFmtId="0" fontId="28" fillId="0" borderId="0" xfId="0" applyFont="1"/>
    <xf numFmtId="0" fontId="5" fillId="20" borderId="33" xfId="0" applyFont="1" applyFill="1" applyBorder="1"/>
    <xf numFmtId="0" fontId="5" fillId="20" borderId="33" xfId="0" applyFont="1" applyFill="1" applyBorder="1" applyAlignment="1">
      <alignment horizontal="center" vertical="center"/>
    </xf>
    <xf numFmtId="0" fontId="4" fillId="20" borderId="33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 vertical="center"/>
    </xf>
    <xf numFmtId="0" fontId="1" fillId="20" borderId="0" xfId="0" applyFont="1" applyFill="1"/>
    <xf numFmtId="0" fontId="29" fillId="59" borderId="79" xfId="0" applyFont="1" applyFill="1" applyBorder="1" applyAlignment="1">
      <alignment horizontal="center" vertical="center"/>
    </xf>
    <xf numFmtId="0" fontId="4" fillId="62" borderId="62" xfId="0" applyFont="1" applyFill="1" applyBorder="1" applyAlignment="1">
      <alignment horizontal="center" vertical="center"/>
    </xf>
    <xf numFmtId="0" fontId="1" fillId="62" borderId="63" xfId="0" applyFont="1" applyFill="1" applyBorder="1"/>
    <xf numFmtId="0" fontId="1" fillId="62" borderId="0" xfId="0" applyFont="1" applyFill="1"/>
    <xf numFmtId="0" fontId="16" fillId="55" borderId="0" xfId="0" applyFont="1" applyFill="1" applyAlignment="1">
      <alignment horizontal="center" vertical="top"/>
    </xf>
    <xf numFmtId="0" fontId="20" fillId="0" borderId="4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19" fillId="0" borderId="47" xfId="2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35" xfId="0" applyFont="1" applyBorder="1"/>
    <xf numFmtId="0" fontId="5" fillId="0" borderId="35" xfId="0" applyFont="1" applyBorder="1" applyAlignment="1">
      <alignment horizontal="center" vertical="center"/>
    </xf>
    <xf numFmtId="0" fontId="5" fillId="0" borderId="45" xfId="0" applyFont="1" applyBorder="1"/>
    <xf numFmtId="0" fontId="5" fillId="0" borderId="45" xfId="0" applyFont="1" applyBorder="1" applyAlignment="1">
      <alignment horizontal="center"/>
    </xf>
    <xf numFmtId="11" fontId="5" fillId="0" borderId="44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/>
    </xf>
    <xf numFmtId="0" fontId="5" fillId="0" borderId="10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1" fillId="0" borderId="56" xfId="0" applyFont="1" applyBorder="1"/>
    <xf numFmtId="0" fontId="5" fillId="0" borderId="51" xfId="0" applyFont="1" applyBorder="1"/>
    <xf numFmtId="0" fontId="4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" fillId="0" borderId="52" xfId="0" applyFont="1" applyBorder="1"/>
    <xf numFmtId="0" fontId="29" fillId="0" borderId="59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" fillId="0" borderId="60" xfId="0" applyFont="1" applyBorder="1"/>
    <xf numFmtId="0" fontId="5" fillId="0" borderId="53" xfId="0" applyFont="1" applyBorder="1" applyAlignment="1">
      <alignment horizontal="center" vertical="center"/>
    </xf>
    <xf numFmtId="0" fontId="0" fillId="0" borderId="99" xfId="0" applyBorder="1"/>
    <xf numFmtId="0" fontId="5" fillId="0" borderId="106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4" fillId="63" borderId="62" xfId="0" applyFont="1" applyFill="1" applyBorder="1" applyAlignment="1">
      <alignment horizontal="center" vertical="center"/>
    </xf>
    <xf numFmtId="0" fontId="30" fillId="63" borderId="63" xfId="0" applyFont="1" applyFill="1" applyBorder="1"/>
    <xf numFmtId="0" fontId="30" fillId="63" borderId="0" xfId="0" applyFont="1" applyFill="1"/>
    <xf numFmtId="0" fontId="27" fillId="0" borderId="62" xfId="0" applyFont="1" applyBorder="1" applyAlignment="1">
      <alignment horizontal="center" vertical="center"/>
    </xf>
    <xf numFmtId="0" fontId="26" fillId="0" borderId="63" xfId="0" applyFont="1" applyBorder="1"/>
    <xf numFmtId="0" fontId="26" fillId="0" borderId="0" xfId="0" applyFont="1"/>
    <xf numFmtId="0" fontId="4" fillId="0" borderId="64" xfId="0" applyFont="1" applyBorder="1" applyAlignment="1">
      <alignment horizontal="center" vertical="center"/>
    </xf>
    <xf numFmtId="0" fontId="1" fillId="0" borderId="61" xfId="0" applyFont="1" applyBorder="1"/>
    <xf numFmtId="0" fontId="5" fillId="20" borderId="86" xfId="0" applyFont="1" applyFill="1" applyBorder="1"/>
    <xf numFmtId="0" fontId="5" fillId="20" borderId="86" xfId="0" applyFont="1" applyFill="1" applyBorder="1" applyAlignment="1">
      <alignment horizontal="center" vertical="center"/>
    </xf>
    <xf numFmtId="0" fontId="4" fillId="20" borderId="86" xfId="0" applyFont="1" applyFill="1" applyBorder="1" applyAlignment="1">
      <alignment horizontal="center" vertical="center"/>
    </xf>
    <xf numFmtId="0" fontId="5" fillId="20" borderId="87" xfId="0" applyFont="1" applyFill="1" applyBorder="1" applyAlignment="1">
      <alignment horizontal="center" vertical="center"/>
    </xf>
    <xf numFmtId="0" fontId="5" fillId="20" borderId="86" xfId="0" applyFont="1" applyFill="1" applyBorder="1" applyAlignment="1">
      <alignment horizontal="center"/>
    </xf>
    <xf numFmtId="0" fontId="1" fillId="20" borderId="87" xfId="0" applyFont="1" applyFill="1" applyBorder="1"/>
    <xf numFmtId="0" fontId="1" fillId="0" borderId="34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1" fillId="0" borderId="34" xfId="0" applyFont="1" applyBorder="1"/>
    <xf numFmtId="0" fontId="4" fillId="59" borderId="33" xfId="0" applyFont="1" applyFill="1" applyBorder="1" applyAlignment="1">
      <alignment horizontal="center" vertical="center"/>
    </xf>
    <xf numFmtId="0" fontId="20" fillId="0" borderId="110" xfId="0" applyFont="1" applyBorder="1"/>
    <xf numFmtId="0" fontId="31" fillId="0" borderId="111" xfId="0" applyFont="1" applyBorder="1"/>
    <xf numFmtId="0" fontId="20" fillId="0" borderId="113" xfId="0" applyFont="1" applyBorder="1"/>
    <xf numFmtId="0" fontId="31" fillId="0" borderId="114" xfId="0" applyFont="1" applyBorder="1"/>
    <xf numFmtId="0" fontId="32" fillId="0" borderId="114" xfId="0" applyFont="1" applyBorder="1"/>
    <xf numFmtId="0" fontId="31" fillId="0" borderId="0" xfId="0" applyFont="1"/>
    <xf numFmtId="0" fontId="20" fillId="0" borderId="109" xfId="0" applyFont="1" applyBorder="1"/>
    <xf numFmtId="0" fontId="20" fillId="0" borderId="112" xfId="0" applyFont="1" applyBorder="1"/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/>
    <xf numFmtId="0" fontId="5" fillId="0" borderId="64" xfId="0" applyFont="1" applyBorder="1" applyAlignment="1">
      <alignment horizontal="center" vertical="center"/>
    </xf>
    <xf numFmtId="0" fontId="5" fillId="0" borderId="64" xfId="0" applyFont="1" applyBorder="1"/>
    <xf numFmtId="0" fontId="5" fillId="0" borderId="88" xfId="0" applyFont="1" applyBorder="1"/>
    <xf numFmtId="0" fontId="5" fillId="0" borderId="88" xfId="0" applyFont="1" applyBorder="1" applyAlignment="1">
      <alignment horizontal="center"/>
    </xf>
    <xf numFmtId="0" fontId="5" fillId="0" borderId="88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 wrapText="1"/>
    </xf>
    <xf numFmtId="0" fontId="1" fillId="0" borderId="67" xfId="0" applyFont="1" applyBorder="1"/>
    <xf numFmtId="0" fontId="5" fillId="0" borderId="68" xfId="0" applyFont="1" applyBorder="1"/>
    <xf numFmtId="0" fontId="5" fillId="0" borderId="68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5" fillId="0" borderId="92" xfId="0" applyFont="1" applyBorder="1"/>
    <xf numFmtId="0" fontId="5" fillId="0" borderId="92" xfId="0" applyFont="1" applyBorder="1" applyAlignment="1">
      <alignment horizontal="center" vertical="center"/>
    </xf>
    <xf numFmtId="0" fontId="1" fillId="0" borderId="76" xfId="0" applyFont="1" applyBorder="1"/>
    <xf numFmtId="0" fontId="1" fillId="0" borderId="75" xfId="0" applyFont="1" applyBorder="1" applyAlignment="1">
      <alignment horizontal="center" vertical="center"/>
    </xf>
    <xf numFmtId="0" fontId="5" fillId="0" borderId="77" xfId="0" applyFont="1" applyBorder="1"/>
    <xf numFmtId="0" fontId="5" fillId="0" borderId="77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5" fillId="0" borderId="81" xfId="0" applyFont="1" applyBorder="1"/>
    <xf numFmtId="0" fontId="5" fillId="0" borderId="81" xfId="0" applyFont="1" applyBorder="1" applyAlignment="1">
      <alignment horizontal="center" vertical="center"/>
    </xf>
    <xf numFmtId="0" fontId="20" fillId="0" borderId="9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/>
    </xf>
    <xf numFmtId="0" fontId="5" fillId="20" borderId="13" xfId="0" applyFont="1" applyFill="1" applyBorder="1"/>
    <xf numFmtId="0" fontId="5" fillId="20" borderId="13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0" fontId="19" fillId="59" borderId="93" xfId="2" applyFont="1" applyFill="1" applyBorder="1" applyAlignment="1">
      <alignment horizontal="center" vertical="center"/>
    </xf>
    <xf numFmtId="0" fontId="22" fillId="59" borderId="93" xfId="2" applyFont="1" applyFill="1" applyBorder="1" applyAlignment="1">
      <alignment horizontal="center" vertical="center"/>
    </xf>
    <xf numFmtId="0" fontId="5" fillId="59" borderId="80" xfId="0" applyFont="1" applyFill="1" applyBorder="1" applyAlignment="1">
      <alignment horizontal="center" vertical="center"/>
    </xf>
    <xf numFmtId="0" fontId="5" fillId="20" borderId="79" xfId="0" applyFont="1" applyFill="1" applyBorder="1"/>
    <xf numFmtId="0" fontId="5" fillId="20" borderId="79" xfId="0" applyFont="1" applyFill="1" applyBorder="1" applyAlignment="1">
      <alignment horizontal="center" vertical="center"/>
    </xf>
    <xf numFmtId="0" fontId="4" fillId="20" borderId="79" xfId="0" applyFont="1" applyFill="1" applyBorder="1" applyAlignment="1">
      <alignment horizontal="center" vertical="center"/>
    </xf>
    <xf numFmtId="0" fontId="1" fillId="20" borderId="80" xfId="0" applyFont="1" applyFill="1" applyBorder="1"/>
    <xf numFmtId="0" fontId="5" fillId="61" borderId="79" xfId="0" applyFont="1" applyFill="1" applyBorder="1"/>
    <xf numFmtId="0" fontId="5" fillId="61" borderId="79" xfId="0" applyFont="1" applyFill="1" applyBorder="1" applyAlignment="1">
      <alignment horizontal="center" vertical="center"/>
    </xf>
    <xf numFmtId="0" fontId="4" fillId="61" borderId="79" xfId="0" applyFont="1" applyFill="1" applyBorder="1" applyAlignment="1">
      <alignment horizontal="center" vertical="center"/>
    </xf>
    <xf numFmtId="0" fontId="1" fillId="61" borderId="80" xfId="0" applyFont="1" applyFill="1" applyBorder="1"/>
    <xf numFmtId="0" fontId="3" fillId="5" borderId="0" xfId="0" applyFont="1" applyFill="1" applyAlignment="1">
      <alignment horizontal="center" vertical="center" wrapText="1"/>
    </xf>
    <xf numFmtId="0" fontId="14" fillId="0" borderId="99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33" fillId="22" borderId="0" xfId="0" applyFont="1" applyFill="1" applyAlignment="1">
      <alignment horizontal="center" vertical="center" wrapText="1"/>
    </xf>
    <xf numFmtId="0" fontId="29" fillId="0" borderId="75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0" fontId="5" fillId="61" borderId="79" xfId="0" applyFont="1" applyFill="1" applyBorder="1" applyAlignment="1">
      <alignment horizontal="center" vertical="center" wrapText="1"/>
    </xf>
    <xf numFmtId="0" fontId="29" fillId="61" borderId="79" xfId="0" applyFont="1" applyFill="1" applyBorder="1" applyAlignment="1">
      <alignment horizontal="center" vertical="center"/>
    </xf>
    <xf numFmtId="1" fontId="5" fillId="61" borderId="79" xfId="0" applyNumberFormat="1" applyFont="1" applyFill="1" applyBorder="1" applyAlignment="1">
      <alignment horizontal="center" vertical="center"/>
    </xf>
    <xf numFmtId="0" fontId="1" fillId="20" borderId="99" xfId="0" applyFont="1" applyFill="1" applyBorder="1"/>
    <xf numFmtId="0" fontId="5" fillId="20" borderId="99" xfId="0" applyFont="1" applyFill="1" applyBorder="1"/>
    <xf numFmtId="0" fontId="5" fillId="20" borderId="99" xfId="0" applyFont="1" applyFill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5" fillId="0" borderId="99" xfId="0" applyFont="1" applyBorder="1"/>
    <xf numFmtId="0" fontId="1" fillId="0" borderId="134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5" xfId="0" applyFont="1" applyBorder="1" applyAlignment="1">
      <alignment horizontal="center" vertical="center"/>
    </xf>
    <xf numFmtId="0" fontId="5" fillId="0" borderId="135" xfId="0" applyFont="1" applyBorder="1"/>
    <xf numFmtId="0" fontId="5" fillId="0" borderId="136" xfId="0" applyFont="1" applyBorder="1" applyAlignment="1">
      <alignment horizontal="center" vertical="center"/>
    </xf>
    <xf numFmtId="0" fontId="1" fillId="0" borderId="137" xfId="0" applyFont="1" applyBorder="1"/>
    <xf numFmtId="0" fontId="1" fillId="0" borderId="133" xfId="0" applyFont="1" applyBorder="1"/>
    <xf numFmtId="0" fontId="5" fillId="0" borderId="138" xfId="0" applyFont="1" applyBorder="1" applyAlignment="1">
      <alignment horizontal="center" vertical="center"/>
    </xf>
    <xf numFmtId="0" fontId="1" fillId="20" borderId="134" xfId="0" applyFont="1" applyFill="1" applyBorder="1"/>
    <xf numFmtId="0" fontId="4" fillId="0" borderId="139" xfId="0" applyFont="1" applyBorder="1" applyAlignment="1">
      <alignment horizontal="center" vertical="center"/>
    </xf>
    <xf numFmtId="0" fontId="5" fillId="59" borderId="62" xfId="0" applyFont="1" applyFill="1" applyBorder="1" applyAlignment="1">
      <alignment horizontal="center" vertical="center"/>
    </xf>
    <xf numFmtId="0" fontId="1" fillId="64" borderId="86" xfId="0" applyFont="1" applyFill="1" applyBorder="1" applyAlignment="1">
      <alignment horizontal="center" vertical="center" wrapText="1"/>
    </xf>
    <xf numFmtId="0" fontId="1" fillId="64" borderId="86" xfId="0" applyFont="1" applyFill="1" applyBorder="1" applyAlignment="1">
      <alignment horizontal="center" vertical="center"/>
    </xf>
    <xf numFmtId="0" fontId="5" fillId="65" borderId="62" xfId="0" applyFont="1" applyFill="1" applyBorder="1" applyAlignment="1">
      <alignment horizontal="center" vertical="center"/>
    </xf>
    <xf numFmtId="0" fontId="1" fillId="65" borderId="62" xfId="0" applyFont="1" applyFill="1" applyBorder="1" applyAlignment="1">
      <alignment horizontal="center" vertical="center"/>
    </xf>
    <xf numFmtId="0" fontId="1" fillId="59" borderId="62" xfId="0" applyFont="1" applyFill="1" applyBorder="1" applyAlignment="1">
      <alignment horizontal="center" vertical="center"/>
    </xf>
    <xf numFmtId="0" fontId="1" fillId="59" borderId="55" xfId="0" applyFont="1" applyFill="1" applyBorder="1" applyAlignment="1">
      <alignment horizontal="center" vertical="center"/>
    </xf>
    <xf numFmtId="0" fontId="5" fillId="59" borderId="33" xfId="0" applyFont="1" applyFill="1" applyBorder="1" applyAlignment="1">
      <alignment horizontal="center" vertical="center"/>
    </xf>
    <xf numFmtId="0" fontId="5" fillId="60" borderId="66" xfId="0" applyFont="1" applyFill="1" applyBorder="1" applyAlignment="1">
      <alignment horizontal="center" vertical="center"/>
    </xf>
    <xf numFmtId="0" fontId="5" fillId="60" borderId="90" xfId="0" applyFont="1" applyFill="1" applyBorder="1" applyAlignment="1">
      <alignment horizontal="center" vertical="center"/>
    </xf>
    <xf numFmtId="0" fontId="1" fillId="60" borderId="0" xfId="0" applyFont="1" applyFill="1" applyAlignment="1">
      <alignment horizontal="center" vertical="center"/>
    </xf>
    <xf numFmtId="0" fontId="5" fillId="60" borderId="86" xfId="0" applyFont="1" applyFill="1" applyBorder="1" applyAlignment="1">
      <alignment horizontal="center" vertical="center"/>
    </xf>
    <xf numFmtId="0" fontId="1" fillId="66" borderId="86" xfId="0" applyFont="1" applyFill="1" applyBorder="1" applyAlignment="1">
      <alignment horizontal="center" vertical="center"/>
    </xf>
    <xf numFmtId="0" fontId="1" fillId="66" borderId="88" xfId="0" applyFont="1" applyFill="1" applyBorder="1" applyAlignment="1">
      <alignment horizontal="center" vertical="center"/>
    </xf>
    <xf numFmtId="0" fontId="5" fillId="66" borderId="86" xfId="0" applyFont="1" applyFill="1" applyBorder="1" applyAlignment="1">
      <alignment horizontal="center" vertical="center"/>
    </xf>
    <xf numFmtId="0" fontId="1" fillId="66" borderId="0" xfId="0" applyFont="1" applyFill="1" applyAlignment="1">
      <alignment horizontal="center"/>
    </xf>
    <xf numFmtId="0" fontId="5" fillId="66" borderId="6" xfId="0" applyFont="1" applyFill="1" applyBorder="1" applyAlignment="1">
      <alignment horizontal="center" vertical="center"/>
    </xf>
    <xf numFmtId="0" fontId="1" fillId="66" borderId="99" xfId="0" applyFont="1" applyFill="1" applyBorder="1"/>
    <xf numFmtId="0" fontId="1" fillId="66" borderId="99" xfId="0" applyFont="1" applyFill="1" applyBorder="1" applyAlignment="1">
      <alignment horizontal="center"/>
    </xf>
    <xf numFmtId="0" fontId="1" fillId="60" borderId="44" xfId="0" applyFont="1" applyFill="1" applyBorder="1" applyAlignment="1">
      <alignment horizontal="center" vertical="center"/>
    </xf>
    <xf numFmtId="0" fontId="5" fillId="60" borderId="81" xfId="0" applyFont="1" applyFill="1" applyBorder="1" applyAlignment="1">
      <alignment horizontal="center" vertical="center"/>
    </xf>
    <xf numFmtId="0" fontId="25" fillId="60" borderId="79" xfId="0" applyFont="1" applyFill="1" applyBorder="1" applyAlignment="1">
      <alignment horizontal="center" vertical="center"/>
    </xf>
    <xf numFmtId="0" fontId="5" fillId="60" borderId="75" xfId="0" applyFont="1" applyFill="1" applyBorder="1" applyAlignment="1">
      <alignment horizontal="center" vertical="center"/>
    </xf>
    <xf numFmtId="0" fontId="5" fillId="67" borderId="75" xfId="0" applyFont="1" applyFill="1" applyBorder="1" applyAlignment="1">
      <alignment horizontal="center" vertical="center"/>
    </xf>
    <xf numFmtId="0" fontId="5" fillId="67" borderId="86" xfId="0" applyFont="1" applyFill="1" applyBorder="1" applyAlignment="1">
      <alignment horizontal="center" vertical="center"/>
    </xf>
    <xf numFmtId="0" fontId="1" fillId="60" borderId="59" xfId="0" applyFont="1" applyFill="1" applyBorder="1" applyAlignment="1">
      <alignment horizontal="center" vertical="center"/>
    </xf>
    <xf numFmtId="0" fontId="5" fillId="60" borderId="55" xfId="0" applyFont="1" applyFill="1" applyBorder="1" applyAlignment="1">
      <alignment horizontal="center" vertical="center"/>
    </xf>
    <xf numFmtId="0" fontId="1" fillId="60" borderId="75" xfId="0" applyFont="1" applyFill="1" applyBorder="1" applyAlignment="1">
      <alignment horizontal="center" vertical="center"/>
    </xf>
    <xf numFmtId="0" fontId="5" fillId="61" borderId="55" xfId="0" applyFont="1" applyFill="1" applyBorder="1" applyAlignment="1">
      <alignment horizontal="center" vertical="center"/>
    </xf>
    <xf numFmtId="0" fontId="1" fillId="61" borderId="55" xfId="0" applyFont="1" applyFill="1" applyBorder="1" applyAlignment="1">
      <alignment horizontal="center" vertical="center"/>
    </xf>
    <xf numFmtId="0" fontId="31" fillId="60" borderId="113" xfId="0" applyFont="1" applyFill="1" applyBorder="1"/>
    <xf numFmtId="0" fontId="1" fillId="61" borderId="44" xfId="0" applyFont="1" applyFill="1" applyBorder="1" applyAlignment="1">
      <alignment horizontal="center" vertical="center"/>
    </xf>
    <xf numFmtId="0" fontId="31" fillId="61" borderId="113" xfId="0" applyFont="1" applyFill="1" applyBorder="1"/>
    <xf numFmtId="0" fontId="5" fillId="61" borderId="44" xfId="0" applyFont="1" applyFill="1" applyBorder="1" applyAlignment="1">
      <alignment horizontal="center" vertical="center"/>
    </xf>
    <xf numFmtId="0" fontId="5" fillId="61" borderId="44" xfId="0" applyFont="1" applyFill="1" applyBorder="1" applyAlignment="1">
      <alignment horizontal="center"/>
    </xf>
    <xf numFmtId="0" fontId="1" fillId="61" borderId="104" xfId="0" applyFont="1" applyFill="1" applyBorder="1" applyAlignment="1">
      <alignment horizontal="center" vertical="center"/>
    </xf>
    <xf numFmtId="0" fontId="1" fillId="61" borderId="99" xfId="0" applyFont="1" applyFill="1" applyBorder="1" applyAlignment="1">
      <alignment horizontal="center" vertical="center"/>
    </xf>
    <xf numFmtId="0" fontId="1" fillId="61" borderId="99" xfId="0" applyFont="1" applyFill="1" applyBorder="1"/>
    <xf numFmtId="0" fontId="1" fillId="61" borderId="105" xfId="0" applyFont="1" applyFill="1" applyBorder="1" applyAlignment="1">
      <alignment horizontal="center" vertical="center"/>
    </xf>
    <xf numFmtId="0" fontId="31" fillId="61" borderId="110" xfId="0" applyFont="1" applyFill="1" applyBorder="1"/>
    <xf numFmtId="0" fontId="5" fillId="61" borderId="33" xfId="0" applyFont="1" applyFill="1" applyBorder="1" applyAlignment="1">
      <alignment horizontal="center" vertical="center"/>
    </xf>
    <xf numFmtId="0" fontId="5" fillId="61" borderId="33" xfId="0" applyFont="1" applyFill="1" applyBorder="1" applyAlignment="1">
      <alignment horizontal="center" vertical="center" wrapText="1"/>
    </xf>
    <xf numFmtId="0" fontId="5" fillId="61" borderId="36" xfId="0" applyFont="1" applyFill="1" applyBorder="1" applyAlignment="1">
      <alignment horizontal="center" vertical="center"/>
    </xf>
    <xf numFmtId="0" fontId="0" fillId="61" borderId="0" xfId="0" applyFill="1"/>
    <xf numFmtId="0" fontId="5" fillId="61" borderId="90" xfId="0" applyFont="1" applyFill="1" applyBorder="1" applyAlignment="1">
      <alignment horizontal="center" vertical="center"/>
    </xf>
    <xf numFmtId="0" fontId="5" fillId="61" borderId="35" xfId="0" applyFont="1" applyFill="1" applyBorder="1" applyAlignment="1">
      <alignment horizontal="center" vertical="center"/>
    </xf>
    <xf numFmtId="0" fontId="5" fillId="60" borderId="33" xfId="0" applyFont="1" applyFill="1" applyBorder="1" applyAlignment="1">
      <alignment horizontal="center" vertical="center"/>
    </xf>
    <xf numFmtId="0" fontId="1" fillId="66" borderId="66" xfId="0" applyFont="1" applyFill="1" applyBorder="1" applyAlignment="1">
      <alignment horizontal="center" vertical="center"/>
    </xf>
    <xf numFmtId="0" fontId="1" fillId="66" borderId="68" xfId="0" applyFont="1" applyFill="1" applyBorder="1" applyAlignment="1">
      <alignment horizontal="center" vertical="center"/>
    </xf>
    <xf numFmtId="0" fontId="5" fillId="66" borderId="69" xfId="0" applyFont="1" applyFill="1" applyBorder="1" applyAlignment="1">
      <alignment horizontal="center" vertical="center"/>
    </xf>
    <xf numFmtId="0" fontId="5" fillId="66" borderId="66" xfId="0" applyFont="1" applyFill="1" applyBorder="1" applyAlignment="1">
      <alignment horizontal="center" vertical="center"/>
    </xf>
    <xf numFmtId="0" fontId="5" fillId="66" borderId="33" xfId="0" applyFont="1" applyFill="1" applyBorder="1" applyAlignment="1">
      <alignment horizontal="center" vertical="center"/>
    </xf>
    <xf numFmtId="0" fontId="26" fillId="60" borderId="62" xfId="0" applyFont="1" applyFill="1" applyBorder="1" applyAlignment="1">
      <alignment horizontal="center" vertical="center"/>
    </xf>
    <xf numFmtId="0" fontId="1" fillId="66" borderId="0" xfId="0" applyFont="1" applyFill="1"/>
    <xf numFmtId="0" fontId="30" fillId="66" borderId="62" xfId="0" applyFont="1" applyFill="1" applyBorder="1" applyAlignment="1">
      <alignment horizontal="center" vertical="center"/>
    </xf>
    <xf numFmtId="0" fontId="1" fillId="66" borderId="62" xfId="0" applyFont="1" applyFill="1" applyBorder="1" applyAlignment="1">
      <alignment horizontal="center" vertical="center"/>
    </xf>
    <xf numFmtId="0" fontId="5" fillId="66" borderId="62" xfId="0" applyFont="1" applyFill="1" applyBorder="1" applyAlignment="1">
      <alignment horizontal="center" vertical="center"/>
    </xf>
    <xf numFmtId="0" fontId="5" fillId="66" borderId="51" xfId="0" applyFont="1" applyFill="1" applyBorder="1" applyAlignment="1">
      <alignment horizontal="center" vertical="center"/>
    </xf>
    <xf numFmtId="0" fontId="5" fillId="66" borderId="99" xfId="0" applyFont="1" applyFill="1" applyBorder="1" applyAlignment="1">
      <alignment horizontal="center" vertical="center"/>
    </xf>
    <xf numFmtId="0" fontId="1" fillId="66" borderId="99" xfId="0" applyFont="1" applyFill="1" applyBorder="1" applyAlignment="1">
      <alignment horizontal="center" vertical="center"/>
    </xf>
    <xf numFmtId="0" fontId="0" fillId="66" borderId="99" xfId="0" applyFill="1" applyBorder="1"/>
    <xf numFmtId="0" fontId="1" fillId="66" borderId="108" xfId="0" applyFont="1" applyFill="1" applyBorder="1" applyAlignment="1">
      <alignment horizontal="center" vertical="center"/>
    </xf>
    <xf numFmtId="0" fontId="1" fillId="66" borderId="51" xfId="0" applyFont="1" applyFill="1" applyBorder="1" applyAlignment="1">
      <alignment horizontal="center" vertical="center"/>
    </xf>
    <xf numFmtId="0" fontId="1" fillId="66" borderId="59" xfId="0" applyFont="1" applyFill="1" applyBorder="1" applyAlignment="1">
      <alignment horizontal="center" vertical="center"/>
    </xf>
    <xf numFmtId="0" fontId="1" fillId="66" borderId="53" xfId="0" applyFont="1" applyFill="1" applyBorder="1" applyAlignment="1">
      <alignment horizontal="center" vertical="center"/>
    </xf>
    <xf numFmtId="0" fontId="1" fillId="60" borderId="51" xfId="0" applyFont="1" applyFill="1" applyBorder="1" applyAlignment="1">
      <alignment horizontal="center" vertical="center"/>
    </xf>
    <xf numFmtId="0" fontId="1" fillId="60" borderId="86" xfId="0" applyFont="1" applyFill="1" applyBorder="1" applyAlignment="1">
      <alignment horizontal="center" vertical="center"/>
    </xf>
    <xf numFmtId="0" fontId="1" fillId="67" borderId="0" xfId="0" applyFont="1" applyFill="1"/>
    <xf numFmtId="0" fontId="1" fillId="60" borderId="99" xfId="0" applyFont="1" applyFill="1" applyBorder="1" applyAlignment="1">
      <alignment horizontal="center"/>
    </xf>
    <xf numFmtId="0" fontId="5" fillId="59" borderId="86" xfId="0" applyFont="1" applyFill="1" applyBorder="1" applyAlignment="1">
      <alignment horizontal="center" vertical="center"/>
    </xf>
    <xf numFmtId="0" fontId="1" fillId="59" borderId="86" xfId="0" applyFont="1" applyFill="1" applyBorder="1" applyAlignment="1">
      <alignment horizontal="center" vertical="center"/>
    </xf>
    <xf numFmtId="0" fontId="5" fillId="60" borderId="135" xfId="0" applyFont="1" applyFill="1" applyBorder="1" applyAlignment="1">
      <alignment horizontal="center" vertical="center"/>
    </xf>
    <xf numFmtId="0" fontId="5" fillId="59" borderId="90" xfId="0" applyFont="1" applyFill="1" applyBorder="1" applyAlignment="1">
      <alignment horizontal="center" vertical="center"/>
    </xf>
    <xf numFmtId="0" fontId="1" fillId="59" borderId="0" xfId="0" applyFont="1" applyFill="1" applyAlignment="1">
      <alignment horizontal="center" vertical="center"/>
    </xf>
    <xf numFmtId="0" fontId="1" fillId="68" borderId="0" xfId="0" applyFont="1" applyFill="1"/>
    <xf numFmtId="0" fontId="1" fillId="65" borderId="0" xfId="0" applyFont="1" applyFill="1" applyAlignment="1">
      <alignment horizontal="center" vertical="center"/>
    </xf>
    <xf numFmtId="0" fontId="5" fillId="68" borderId="90" xfId="0" applyFont="1" applyFill="1" applyBorder="1" applyAlignment="1">
      <alignment horizontal="center" vertical="center"/>
    </xf>
    <xf numFmtId="0" fontId="5" fillId="59" borderId="55" xfId="0" applyFont="1" applyFill="1" applyBorder="1" applyAlignment="1">
      <alignment horizontal="center" vertical="center"/>
    </xf>
    <xf numFmtId="0" fontId="1" fillId="60" borderId="57" xfId="0" applyFont="1" applyFill="1" applyBorder="1" applyAlignment="1">
      <alignment horizontal="center" vertical="center"/>
    </xf>
    <xf numFmtId="0" fontId="1" fillId="61" borderId="122" xfId="0" applyFont="1" applyFill="1" applyBorder="1" applyAlignment="1">
      <alignment horizontal="center" vertical="center"/>
    </xf>
    <xf numFmtId="0" fontId="5" fillId="0" borderId="140" xfId="0" applyFont="1" applyBorder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0" fontId="5" fillId="0" borderId="142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5" fillId="0" borderId="144" xfId="0" applyFont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1" fillId="0" borderId="146" xfId="0" applyFont="1" applyBorder="1"/>
    <xf numFmtId="0" fontId="1" fillId="0" borderId="147" xfId="0" applyFont="1" applyBorder="1"/>
    <xf numFmtId="0" fontId="5" fillId="0" borderId="148" xfId="0" applyFont="1" applyBorder="1" applyAlignment="1">
      <alignment horizontal="center" vertical="center"/>
    </xf>
    <xf numFmtId="0" fontId="5" fillId="59" borderId="66" xfId="0" applyFont="1" applyFill="1" applyBorder="1" applyAlignment="1">
      <alignment horizontal="center" vertical="center"/>
    </xf>
    <xf numFmtId="0" fontId="1" fillId="59" borderId="66" xfId="0" applyFont="1" applyFill="1" applyBorder="1" applyAlignment="1">
      <alignment horizontal="center" vertical="center"/>
    </xf>
    <xf numFmtId="0" fontId="1" fillId="67" borderId="86" xfId="0" applyFont="1" applyFill="1" applyBorder="1" applyAlignment="1">
      <alignment horizontal="center" vertical="center"/>
    </xf>
    <xf numFmtId="0" fontId="5" fillId="0" borderId="79" xfId="0" applyFont="1" applyBorder="1" applyAlignment="1">
      <alignment vertical="center"/>
    </xf>
    <xf numFmtId="0" fontId="1" fillId="60" borderId="0" xfId="0" applyFont="1" applyFill="1" applyAlignment="1">
      <alignment horizontal="center"/>
    </xf>
    <xf numFmtId="0" fontId="1" fillId="65" borderId="0" xfId="0" applyFont="1" applyFill="1"/>
    <xf numFmtId="0" fontId="1" fillId="69" borderId="0" xfId="0" applyFont="1" applyFill="1" applyAlignment="1">
      <alignment horizontal="center"/>
    </xf>
    <xf numFmtId="0" fontId="5" fillId="70" borderId="33" xfId="0" applyFont="1" applyFill="1" applyBorder="1" applyAlignment="1">
      <alignment horizontal="center" vertical="center"/>
    </xf>
    <xf numFmtId="0" fontId="5" fillId="70" borderId="79" xfId="0" applyFont="1" applyFill="1" applyBorder="1" applyAlignment="1">
      <alignment horizontal="center" vertical="center"/>
    </xf>
    <xf numFmtId="0" fontId="1" fillId="60" borderId="62" xfId="0" applyFont="1" applyFill="1" applyBorder="1" applyAlignment="1">
      <alignment horizontal="center" vertical="center"/>
    </xf>
    <xf numFmtId="0" fontId="34" fillId="61" borderId="0" xfId="0" applyFont="1" applyFill="1"/>
    <xf numFmtId="0" fontId="29" fillId="0" borderId="36" xfId="0" applyFont="1" applyBorder="1" applyAlignment="1">
      <alignment horizontal="center" vertical="center"/>
    </xf>
    <xf numFmtId="0" fontId="1" fillId="61" borderId="0" xfId="0" applyFont="1" applyFill="1" applyAlignment="1">
      <alignment horizontal="center" vertical="center"/>
    </xf>
    <xf numFmtId="0" fontId="17" fillId="43" borderId="0" xfId="3" applyFont="1" applyFill="1" applyBorder="1" applyAlignment="1">
      <alignment horizontal="center" vertical="center"/>
    </xf>
    <xf numFmtId="0" fontId="17" fillId="43" borderId="5" xfId="3" applyFont="1" applyFill="1" applyBorder="1" applyAlignment="1">
      <alignment horizontal="center" vertical="center"/>
    </xf>
    <xf numFmtId="0" fontId="3" fillId="42" borderId="0" xfId="3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7" fillId="9" borderId="16" xfId="0" applyFont="1" applyFill="1" applyBorder="1" applyAlignment="1">
      <alignment horizontal="center" vertical="center" textRotation="45"/>
    </xf>
    <xf numFmtId="0" fontId="17" fillId="9" borderId="19" xfId="0" applyFont="1" applyFill="1" applyBorder="1" applyAlignment="1">
      <alignment horizontal="center" vertical="center" textRotation="45"/>
    </xf>
    <xf numFmtId="0" fontId="3" fillId="9" borderId="13" xfId="0" applyFont="1" applyFill="1" applyBorder="1" applyAlignment="1">
      <alignment horizontal="center" vertical="center" textRotation="45"/>
    </xf>
    <xf numFmtId="0" fontId="3" fillId="9" borderId="15" xfId="0" applyFont="1" applyFill="1" applyBorder="1" applyAlignment="1">
      <alignment horizontal="center" vertical="center" textRotation="45"/>
    </xf>
    <xf numFmtId="0" fontId="17" fillId="11" borderId="29" xfId="3" applyFont="1" applyFill="1" applyBorder="1" applyAlignment="1">
      <alignment horizontal="center" vertical="center"/>
    </xf>
    <xf numFmtId="0" fontId="17" fillId="11" borderId="30" xfId="3" applyFont="1" applyFill="1" applyBorder="1" applyAlignment="1">
      <alignment horizontal="center" vertical="center"/>
    </xf>
    <xf numFmtId="0" fontId="17" fillId="11" borderId="31" xfId="3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 textRotation="45"/>
    </xf>
    <xf numFmtId="0" fontId="17" fillId="9" borderId="15" xfId="0" applyFont="1" applyFill="1" applyBorder="1" applyAlignment="1">
      <alignment horizontal="center" vertical="center" textRotation="45"/>
    </xf>
    <xf numFmtId="0" fontId="1" fillId="0" borderId="13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14" borderId="36" xfId="0" applyFont="1" applyFill="1" applyBorder="1" applyAlignment="1">
      <alignment horizontal="center" vertical="center" textRotation="45"/>
    </xf>
    <xf numFmtId="0" fontId="3" fillId="14" borderId="37" xfId="0" applyFont="1" applyFill="1" applyBorder="1" applyAlignment="1">
      <alignment horizontal="center" vertical="center" textRotation="45"/>
    </xf>
    <xf numFmtId="0" fontId="11" fillId="12" borderId="22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0" fontId="17" fillId="14" borderId="33" xfId="0" applyFont="1" applyFill="1" applyBorder="1" applyAlignment="1">
      <alignment horizontal="center" vertical="center" textRotation="45"/>
    </xf>
    <xf numFmtId="0" fontId="17" fillId="14" borderId="35" xfId="0" applyFont="1" applyFill="1" applyBorder="1" applyAlignment="1">
      <alignment horizontal="center" vertical="center" textRotation="45"/>
    </xf>
    <xf numFmtId="0" fontId="1" fillId="0" borderId="33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17" borderId="44" xfId="0" applyFont="1" applyFill="1" applyBorder="1" applyAlignment="1">
      <alignment horizontal="center" vertical="center" textRotation="45"/>
    </xf>
    <xf numFmtId="0" fontId="3" fillId="17" borderId="45" xfId="0" applyFont="1" applyFill="1" applyBorder="1" applyAlignment="1">
      <alignment horizontal="center" vertical="center" textRotation="45"/>
    </xf>
    <xf numFmtId="0" fontId="11" fillId="15" borderId="39" xfId="0" applyFont="1" applyFill="1" applyBorder="1" applyAlignment="1">
      <alignment horizontal="center"/>
    </xf>
    <xf numFmtId="0" fontId="11" fillId="15" borderId="40" xfId="0" applyFont="1" applyFill="1" applyBorder="1" applyAlignment="1">
      <alignment horizontal="center"/>
    </xf>
    <xf numFmtId="0" fontId="11" fillId="15" borderId="41" xfId="0" applyFont="1" applyFill="1" applyBorder="1" applyAlignment="1">
      <alignment horizontal="center"/>
    </xf>
    <xf numFmtId="0" fontId="17" fillId="17" borderId="44" xfId="0" applyFont="1" applyFill="1" applyBorder="1" applyAlignment="1">
      <alignment horizontal="center" vertical="center" textRotation="45"/>
    </xf>
    <xf numFmtId="0" fontId="17" fillId="17" borderId="45" xfId="0" applyFont="1" applyFill="1" applyBorder="1" applyAlignment="1">
      <alignment horizontal="center" vertical="center" textRotation="45"/>
    </xf>
    <xf numFmtId="0" fontId="1" fillId="0" borderId="44" xfId="0" applyFont="1" applyBorder="1" applyAlignment="1">
      <alignment horizontal="center"/>
    </xf>
    <xf numFmtId="0" fontId="1" fillId="0" borderId="10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24" borderId="55" xfId="0" applyFont="1" applyFill="1" applyBorder="1" applyAlignment="1">
      <alignment horizontal="center" vertical="center" textRotation="45"/>
    </xf>
    <xf numFmtId="0" fontId="3" fillId="24" borderId="57" xfId="0" applyFont="1" applyFill="1" applyBorder="1" applyAlignment="1">
      <alignment horizontal="center" vertical="center" textRotation="45"/>
    </xf>
    <xf numFmtId="0" fontId="11" fillId="18" borderId="39" xfId="0" applyFont="1" applyFill="1" applyBorder="1" applyAlignment="1">
      <alignment horizontal="center"/>
    </xf>
    <xf numFmtId="0" fontId="11" fillId="18" borderId="40" xfId="0" applyFont="1" applyFill="1" applyBorder="1" applyAlignment="1">
      <alignment horizontal="center"/>
    </xf>
    <xf numFmtId="0" fontId="11" fillId="18" borderId="41" xfId="0" applyFont="1" applyFill="1" applyBorder="1" applyAlignment="1">
      <alignment horizontal="center"/>
    </xf>
    <xf numFmtId="0" fontId="17" fillId="24" borderId="55" xfId="0" applyFont="1" applyFill="1" applyBorder="1" applyAlignment="1">
      <alignment horizontal="center" vertical="center" textRotation="45"/>
    </xf>
    <xf numFmtId="0" fontId="17" fillId="24" borderId="57" xfId="0" applyFont="1" applyFill="1" applyBorder="1" applyAlignment="1">
      <alignment horizontal="center" vertical="center" textRotation="45"/>
    </xf>
    <xf numFmtId="0" fontId="1" fillId="0" borderId="55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" fillId="44" borderId="66" xfId="0" applyFont="1" applyFill="1" applyBorder="1" applyAlignment="1">
      <alignment horizontal="center" vertical="center" textRotation="45"/>
    </xf>
    <xf numFmtId="0" fontId="3" fillId="44" borderId="68" xfId="0" applyFont="1" applyFill="1" applyBorder="1" applyAlignment="1">
      <alignment horizontal="center" vertical="center" textRotation="45"/>
    </xf>
    <xf numFmtId="0" fontId="21" fillId="47" borderId="22" xfId="0" applyFont="1" applyFill="1" applyBorder="1" applyAlignment="1">
      <alignment horizontal="center"/>
    </xf>
    <xf numFmtId="0" fontId="21" fillId="47" borderId="23" xfId="0" applyFont="1" applyFill="1" applyBorder="1" applyAlignment="1">
      <alignment horizontal="center"/>
    </xf>
    <xf numFmtId="0" fontId="21" fillId="47" borderId="24" xfId="0" applyFont="1" applyFill="1" applyBorder="1" applyAlignment="1">
      <alignment horizontal="center"/>
    </xf>
    <xf numFmtId="0" fontId="17" fillId="44" borderId="66" xfId="0" applyFont="1" applyFill="1" applyBorder="1" applyAlignment="1">
      <alignment horizontal="center" vertical="center" textRotation="45"/>
    </xf>
    <xf numFmtId="0" fontId="17" fillId="44" borderId="68" xfId="0" applyFont="1" applyFill="1" applyBorder="1" applyAlignment="1">
      <alignment horizontal="center" vertical="center" textRotation="45"/>
    </xf>
    <xf numFmtId="0" fontId="1" fillId="0" borderId="66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126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3" fillId="23" borderId="51" xfId="0" applyFont="1" applyFill="1" applyBorder="1" applyAlignment="1">
      <alignment horizontal="center" vertical="center" textRotation="45"/>
    </xf>
    <xf numFmtId="0" fontId="3" fillId="23" borderId="53" xfId="0" applyFont="1" applyFill="1" applyBorder="1" applyAlignment="1">
      <alignment horizontal="center" vertical="center" textRotation="45"/>
    </xf>
    <xf numFmtId="0" fontId="11" fillId="21" borderId="22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24" xfId="0" applyFont="1" applyFill="1" applyBorder="1" applyAlignment="1">
      <alignment horizontal="center"/>
    </xf>
    <xf numFmtId="0" fontId="17" fillId="23" borderId="51" xfId="0" applyFont="1" applyFill="1" applyBorder="1" applyAlignment="1">
      <alignment horizontal="center" vertical="center" textRotation="45"/>
    </xf>
    <xf numFmtId="0" fontId="17" fillId="23" borderId="53" xfId="0" applyFont="1" applyFill="1" applyBorder="1" applyAlignment="1">
      <alignment horizontal="center" vertical="center" textRotation="45"/>
    </xf>
    <xf numFmtId="0" fontId="1" fillId="0" borderId="51" xfId="0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1" fillId="25" borderId="22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11" fillId="25" borderId="24" xfId="0" applyFont="1" applyFill="1" applyBorder="1" applyAlignment="1">
      <alignment horizontal="center"/>
    </xf>
    <xf numFmtId="0" fontId="11" fillId="54" borderId="25" xfId="0" applyFont="1" applyFill="1" applyBorder="1" applyAlignment="1">
      <alignment horizontal="center"/>
    </xf>
    <xf numFmtId="0" fontId="11" fillId="54" borderId="0" xfId="0" applyFont="1" applyFill="1" applyAlignment="1">
      <alignment horizontal="center"/>
    </xf>
    <xf numFmtId="0" fontId="3" fillId="56" borderId="86" xfId="0" applyFont="1" applyFill="1" applyBorder="1" applyAlignment="1">
      <alignment horizontal="center" vertical="center" textRotation="45"/>
    </xf>
    <xf numFmtId="0" fontId="3" fillId="56" borderId="88" xfId="0" applyFont="1" applyFill="1" applyBorder="1" applyAlignment="1">
      <alignment horizontal="center" vertical="center" textRotation="45"/>
    </xf>
    <xf numFmtId="0" fontId="17" fillId="56" borderId="86" xfId="0" applyFont="1" applyFill="1" applyBorder="1" applyAlignment="1">
      <alignment horizontal="center" vertical="center" textRotation="45"/>
    </xf>
    <xf numFmtId="0" fontId="17" fillId="56" borderId="88" xfId="0" applyFont="1" applyFill="1" applyBorder="1" applyAlignment="1">
      <alignment horizontal="center" vertical="center" textRotation="45"/>
    </xf>
    <xf numFmtId="0" fontId="1" fillId="0" borderId="86" xfId="0" applyFont="1" applyBorder="1" applyAlignment="1">
      <alignment horizontal="center"/>
    </xf>
    <xf numFmtId="0" fontId="1" fillId="0" borderId="11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11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3" fillId="57" borderId="90" xfId="0" applyFont="1" applyFill="1" applyBorder="1" applyAlignment="1">
      <alignment horizontal="center" vertical="center" textRotation="45"/>
    </xf>
    <xf numFmtId="0" fontId="3" fillId="57" borderId="92" xfId="0" applyFont="1" applyFill="1" applyBorder="1" applyAlignment="1">
      <alignment horizontal="center" vertical="center" textRotation="45"/>
    </xf>
    <xf numFmtId="0" fontId="11" fillId="45" borderId="22" xfId="0" applyFont="1" applyFill="1" applyBorder="1" applyAlignment="1">
      <alignment horizontal="center"/>
    </xf>
    <xf numFmtId="0" fontId="11" fillId="45" borderId="23" xfId="0" applyFont="1" applyFill="1" applyBorder="1" applyAlignment="1">
      <alignment horizontal="center"/>
    </xf>
    <xf numFmtId="0" fontId="11" fillId="45" borderId="24" xfId="0" applyFont="1" applyFill="1" applyBorder="1" applyAlignment="1">
      <alignment horizontal="center"/>
    </xf>
    <xf numFmtId="0" fontId="17" fillId="57" borderId="90" xfId="0" applyFont="1" applyFill="1" applyBorder="1" applyAlignment="1">
      <alignment horizontal="center" vertical="center" textRotation="45"/>
    </xf>
    <xf numFmtId="0" fontId="17" fillId="57" borderId="92" xfId="0" applyFont="1" applyFill="1" applyBorder="1" applyAlignment="1">
      <alignment horizontal="center" vertical="center" textRotation="45"/>
    </xf>
    <xf numFmtId="0" fontId="1" fillId="0" borderId="90" xfId="0" applyFont="1" applyBorder="1" applyAlignment="1">
      <alignment horizontal="center"/>
    </xf>
    <xf numFmtId="0" fontId="1" fillId="0" borderId="127" xfId="0" applyFont="1" applyBorder="1" applyAlignment="1">
      <alignment horizontal="center"/>
    </xf>
    <xf numFmtId="0" fontId="1" fillId="0" borderId="91" xfId="0" applyFont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3" fillId="51" borderId="75" xfId="0" applyFont="1" applyFill="1" applyBorder="1" applyAlignment="1">
      <alignment horizontal="center" vertical="center" textRotation="45"/>
    </xf>
    <xf numFmtId="0" fontId="3" fillId="51" borderId="77" xfId="0" applyFont="1" applyFill="1" applyBorder="1" applyAlignment="1">
      <alignment horizontal="center" vertical="center" textRotation="45"/>
    </xf>
    <xf numFmtId="0" fontId="21" fillId="49" borderId="22" xfId="0" applyFont="1" applyFill="1" applyBorder="1" applyAlignment="1">
      <alignment horizontal="center"/>
    </xf>
    <xf numFmtId="0" fontId="21" fillId="49" borderId="23" xfId="0" applyFont="1" applyFill="1" applyBorder="1" applyAlignment="1">
      <alignment horizontal="center"/>
    </xf>
    <xf numFmtId="0" fontId="21" fillId="49" borderId="24" xfId="0" applyFont="1" applyFill="1" applyBorder="1" applyAlignment="1">
      <alignment horizontal="center"/>
    </xf>
    <xf numFmtId="0" fontId="17" fillId="51" borderId="75" xfId="0" applyFont="1" applyFill="1" applyBorder="1" applyAlignment="1">
      <alignment horizontal="center" vertical="center" textRotation="45"/>
    </xf>
    <xf numFmtId="0" fontId="17" fillId="51" borderId="77" xfId="0" applyFont="1" applyFill="1" applyBorder="1" applyAlignment="1">
      <alignment horizontal="center" vertical="center" textRotation="45"/>
    </xf>
    <xf numFmtId="0" fontId="1" fillId="0" borderId="75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3" fillId="58" borderId="79" xfId="0" applyFont="1" applyFill="1" applyBorder="1" applyAlignment="1">
      <alignment horizontal="center" vertical="center" textRotation="45"/>
    </xf>
    <xf numFmtId="0" fontId="3" fillId="58" borderId="81" xfId="0" applyFont="1" applyFill="1" applyBorder="1" applyAlignment="1">
      <alignment horizontal="center" vertical="center" textRotation="45"/>
    </xf>
    <xf numFmtId="0" fontId="21" fillId="52" borderId="22" xfId="0" applyFont="1" applyFill="1" applyBorder="1" applyAlignment="1">
      <alignment horizontal="center"/>
    </xf>
    <xf numFmtId="0" fontId="21" fillId="52" borderId="23" xfId="0" applyFont="1" applyFill="1" applyBorder="1" applyAlignment="1">
      <alignment horizontal="center"/>
    </xf>
    <xf numFmtId="0" fontId="21" fillId="52" borderId="24" xfId="0" applyFont="1" applyFill="1" applyBorder="1" applyAlignment="1">
      <alignment horizontal="center"/>
    </xf>
    <xf numFmtId="0" fontId="17" fillId="58" borderId="79" xfId="0" applyFont="1" applyFill="1" applyBorder="1" applyAlignment="1">
      <alignment horizontal="center" vertical="center" textRotation="45"/>
    </xf>
    <xf numFmtId="0" fontId="17" fillId="58" borderId="81" xfId="0" applyFont="1" applyFill="1" applyBorder="1" applyAlignment="1">
      <alignment horizontal="center" vertical="center" textRotation="45"/>
    </xf>
    <xf numFmtId="0" fontId="1" fillId="0" borderId="79" xfId="0" applyFont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132" xfId="0" applyFont="1" applyBorder="1" applyAlignment="1">
      <alignment horizontal="center"/>
    </xf>
    <xf numFmtId="0" fontId="1" fillId="0" borderId="78" xfId="0" applyFont="1" applyBorder="1" applyAlignment="1">
      <alignment horizontal="center"/>
    </xf>
  </cellXfs>
  <cellStyles count="32">
    <cellStyle name="Hyperlink" xfId="3" builtinId="8"/>
    <cellStyle name="Millares 2" xfId="5" xr:uid="{DD26A70B-F61D-42BB-9F76-5C480070DA6C}"/>
    <cellStyle name="Millares 2 2" xfId="9" xr:uid="{F7C53B3C-C333-4ACB-89C9-F902A621C36D}"/>
    <cellStyle name="Millares 2 2 2" xfId="20" xr:uid="{8CF7F96E-D89D-4312-994A-435D6911F9F8}"/>
    <cellStyle name="Millares 2 2 2 2" xfId="30" xr:uid="{1C542695-CA6B-46F8-9348-31A1151421C4}"/>
    <cellStyle name="Millares 2 2 3" xfId="15" xr:uid="{594CBFD0-2E84-4B5C-B32E-C7321C5C0D81}"/>
    <cellStyle name="Millares 2 2 4" xfId="25" xr:uid="{47B3375A-1582-44E9-84A9-5B63D714FC28}"/>
    <cellStyle name="Millares 2 3" xfId="18" xr:uid="{141C8DCD-220C-4C1A-ADFA-7EEADDD1E076}"/>
    <cellStyle name="Millares 2 3 2" xfId="28" xr:uid="{0FB57904-1B1E-498C-B615-92BF8436D4E3}"/>
    <cellStyle name="Millares 2 4" xfId="13" xr:uid="{D9BB5876-0644-4057-92B8-F267DD150B90}"/>
    <cellStyle name="Millares 2 5" xfId="23" xr:uid="{0BD1147A-BB22-47B2-8D35-6FB8C5A6A8C6}"/>
    <cellStyle name="Millares 3" xfId="6" xr:uid="{9AC5CBFB-7291-4BAA-B003-BCCE7D5A904E}"/>
    <cellStyle name="Millares 3 2" xfId="10" xr:uid="{D0360BBE-ED18-4F6C-B0A0-B3C79E88DF77}"/>
    <cellStyle name="Millares 3 2 2" xfId="19" xr:uid="{7AF3CC1E-541B-446D-9A1F-40C331E10351}"/>
    <cellStyle name="Millares 3 2 3" xfId="29" xr:uid="{E772C818-889D-4E03-BD08-324775804100}"/>
    <cellStyle name="Millares 3 3" xfId="14" xr:uid="{56FC6BB6-AFAF-43AF-AD56-9A5261A94F5F}"/>
    <cellStyle name="Millares 3 4" xfId="24" xr:uid="{F69AD56F-5555-4333-8DD2-96690BA01A76}"/>
    <cellStyle name="Millares 4" xfId="7" xr:uid="{9EB8808A-4DBB-47F5-9A45-2A664F9567EE}"/>
    <cellStyle name="Millares 4 2" xfId="11" xr:uid="{C76F9602-BCC6-4800-AF11-878E3A4B9D12}"/>
    <cellStyle name="Millares 4 2 2" xfId="21" xr:uid="{DFA867A0-B895-4C03-B369-C9F94663D3DF}"/>
    <cellStyle name="Millares 4 2 3" xfId="31" xr:uid="{2F4C5386-330B-4F24-BCE2-A9C6D1168C9B}"/>
    <cellStyle name="Millares 4 3" xfId="16" xr:uid="{04343ACD-5CEE-4F4F-95AB-25026A3C811F}"/>
    <cellStyle name="Millares 4 4" xfId="26" xr:uid="{CF2F37EA-FA67-41AC-88A6-C7E1321CA418}"/>
    <cellStyle name="Millares 5" xfId="4" xr:uid="{27FC7A8F-AD39-407A-A3B8-FB01BDDA25C0}"/>
    <cellStyle name="Millares 5 2" xfId="17" xr:uid="{6E18C3BD-75C1-4A2C-9E6C-B803C87BD15B}"/>
    <cellStyle name="Millares 5 3" xfId="27" xr:uid="{D7CE75D4-E9A7-494C-935A-6DD0F48BB1C8}"/>
    <cellStyle name="Millares 6" xfId="8" xr:uid="{69DBF5C7-7DEA-4DC7-BF41-4154A9A324A6}"/>
    <cellStyle name="Millares 7" xfId="12" xr:uid="{312B3D47-89BB-4FB4-96E5-6C8E0694C480}"/>
    <cellStyle name="Millares 8" xfId="22" xr:uid="{21F79E18-CACB-4553-9341-72504070AB26}"/>
    <cellStyle name="Normal" xfId="0" builtinId="0"/>
    <cellStyle name="Normal 2" xfId="2" xr:uid="{40B2B07B-E593-4685-9936-0DA1CC4DD177}"/>
    <cellStyle name="Percent" xfId="1" builtinId="5"/>
  </cellStyles>
  <dxfs count="34"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DAA520"/>
      <color rgb="FFF52727"/>
      <color rgb="FFFFFF99"/>
      <color rgb="FFDCAFE3"/>
      <color rgb="FFB9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0526-433C-436E-BEEC-F79F91C53504}">
  <sheetPr>
    <tabColor rgb="FFB96363"/>
  </sheetPr>
  <dimension ref="E1:Q16"/>
  <sheetViews>
    <sheetView showRowColHeaders="0" topLeftCell="A2" zoomScale="102" zoomScaleNormal="120" workbookViewId="0">
      <selection activeCell="E5" sqref="E5"/>
    </sheetView>
  </sheetViews>
  <sheetFormatPr defaultColWidth="11.42578125" defaultRowHeight="16.5"/>
  <cols>
    <col min="1" max="1" width="23.140625" style="13" customWidth="1"/>
    <col min="2" max="2" width="11.42578125" style="13" customWidth="1"/>
    <col min="3" max="3" width="5.85546875" style="13" customWidth="1"/>
    <col min="4" max="4" width="3" style="13" customWidth="1"/>
    <col min="5" max="5" width="50" style="13" customWidth="1"/>
    <col min="6" max="6" width="12.42578125" style="13" bestFit="1" customWidth="1"/>
    <col min="7" max="7" width="12.28515625" style="13" bestFit="1" customWidth="1"/>
    <col min="8" max="8" width="12.85546875" style="13" bestFit="1" customWidth="1"/>
    <col min="9" max="9" width="11.42578125" style="13"/>
    <col min="10" max="10" width="12.42578125" style="13" bestFit="1" customWidth="1"/>
    <col min="11" max="11" width="12.85546875" style="13" bestFit="1" customWidth="1"/>
    <col min="12" max="16384" width="11.42578125" style="13"/>
  </cols>
  <sheetData>
    <row r="1" spans="5:17" ht="24" customHeight="1"/>
    <row r="2" spans="5:17">
      <c r="E2" s="528" t="s">
        <v>0</v>
      </c>
      <c r="F2" s="528"/>
      <c r="G2" s="528"/>
      <c r="H2" s="528"/>
      <c r="I2" s="528"/>
      <c r="J2" s="528"/>
      <c r="K2" s="528"/>
      <c r="L2" s="529"/>
    </row>
    <row r="3" spans="5:17">
      <c r="E3" s="149" t="s">
        <v>1</v>
      </c>
      <c r="F3" s="530" t="s">
        <v>2</v>
      </c>
      <c r="G3" s="530"/>
      <c r="H3" s="149" t="s">
        <v>3</v>
      </c>
      <c r="I3" s="149" t="s">
        <v>4</v>
      </c>
      <c r="J3" s="149" t="s">
        <v>5</v>
      </c>
      <c r="K3" s="149" t="s">
        <v>6</v>
      </c>
      <c r="L3" s="150" t="s">
        <v>7</v>
      </c>
      <c r="Q3" s="14" t="s">
        <v>8</v>
      </c>
    </row>
    <row r="4" spans="5:17">
      <c r="E4" s="134" t="s">
        <v>9</v>
      </c>
      <c r="F4" s="16" t="s">
        <v>10</v>
      </c>
      <c r="G4" s="16" t="s">
        <v>11</v>
      </c>
      <c r="H4" s="146">
        <f>DG!E20</f>
        <v>1</v>
      </c>
      <c r="I4" s="147">
        <f>DG!F20</f>
        <v>13</v>
      </c>
      <c r="J4" s="148">
        <f>DG!G20</f>
        <v>0</v>
      </c>
      <c r="K4" s="17">
        <f>DG!H20</f>
        <v>14</v>
      </c>
      <c r="L4" s="18">
        <f>I4/K4</f>
        <v>0.9285714285714286</v>
      </c>
    </row>
    <row r="5" spans="5:17" ht="27.75">
      <c r="E5" s="135" t="str">
        <f>DATOS!B3</f>
        <v>DIRECCIÓN DE BIENESTAR Y ESTIMULOS A LA JUVENTUD</v>
      </c>
      <c r="F5" s="19" t="s">
        <v>12</v>
      </c>
      <c r="G5" s="19" t="s">
        <v>13</v>
      </c>
      <c r="H5" s="146">
        <f>DBEJ!E89</f>
        <v>49</v>
      </c>
      <c r="I5" s="147">
        <f>DBEJ!F89</f>
        <v>32</v>
      </c>
      <c r="J5" s="148">
        <f>DBEJ!G89</f>
        <v>0</v>
      </c>
      <c r="K5" s="63">
        <f>DBEJ!H89</f>
        <v>81</v>
      </c>
      <c r="L5" s="20">
        <f>I5/K5</f>
        <v>0.39506172839506171</v>
      </c>
    </row>
    <row r="6" spans="5:17" ht="27.75">
      <c r="E6" s="136" t="str">
        <f>DATOS!B4</f>
        <v>DIRECCIÓN DE INESTIGACIÓN Y ESTUDIOS SOBRE JUVENTUDES</v>
      </c>
      <c r="F6" s="19" t="s">
        <v>14</v>
      </c>
      <c r="G6" s="19" t="s">
        <v>15</v>
      </c>
      <c r="H6" s="146">
        <f>DIEJ!E64</f>
        <v>43</v>
      </c>
      <c r="I6" s="147">
        <f>DIEJ!F64</f>
        <v>15</v>
      </c>
      <c r="J6" s="148">
        <f>DIEJ!G64</f>
        <v>0</v>
      </c>
      <c r="K6" s="63">
        <f>DIEJ!H64</f>
        <v>58</v>
      </c>
      <c r="L6" s="20">
        <f t="shared" ref="L6:L14" si="0">I6/K6</f>
        <v>0.25862068965517243</v>
      </c>
    </row>
    <row r="7" spans="5:17" ht="27.75">
      <c r="E7" s="137" t="str">
        <f>DATOS!B5</f>
        <v>DIRECCIÓN DE COORDINACIÓN SERCTORIAL Y REGIONAL</v>
      </c>
      <c r="F7" s="19" t="s">
        <v>16</v>
      </c>
      <c r="G7" s="19" t="s">
        <v>17</v>
      </c>
      <c r="H7" s="146">
        <f>DCSR!E53</f>
        <v>35</v>
      </c>
      <c r="I7" s="147">
        <f>DCSR!F53</f>
        <v>13</v>
      </c>
      <c r="J7" s="148">
        <f>DCSR!G53</f>
        <v>0</v>
      </c>
      <c r="K7" s="63">
        <f>DCSR!H53</f>
        <v>48</v>
      </c>
      <c r="L7" s="20">
        <f t="shared" si="0"/>
        <v>0.27083333333333331</v>
      </c>
    </row>
    <row r="8" spans="5:17">
      <c r="E8" s="138" t="str">
        <f>DATOS!B6</f>
        <v>DIRECCIÓN DE EVALUACIÓN Y CONTROL</v>
      </c>
      <c r="F8" s="19" t="s">
        <v>18</v>
      </c>
      <c r="G8" s="19" t="s">
        <v>19</v>
      </c>
      <c r="H8" s="146">
        <f>DEC!E42</f>
        <v>24</v>
      </c>
      <c r="I8" s="147">
        <f>DEC!F42</f>
        <v>13</v>
      </c>
      <c r="J8" s="148">
        <f>DEC!G42</f>
        <v>0</v>
      </c>
      <c r="K8" s="63">
        <f>DEC!H42</f>
        <v>37</v>
      </c>
      <c r="L8" s="20">
        <f t="shared" si="0"/>
        <v>0.35135135135135137</v>
      </c>
    </row>
    <row r="9" spans="5:17">
      <c r="E9" s="139" t="str">
        <f>DATOS!B7</f>
        <v>DIRECCIÓN DE FINANZAS</v>
      </c>
      <c r="F9" s="19" t="s">
        <v>20</v>
      </c>
      <c r="G9" s="19" t="s">
        <v>21</v>
      </c>
      <c r="H9" s="146">
        <f>DF!E39</f>
        <v>14</v>
      </c>
      <c r="I9" s="147">
        <f>DF!F39</f>
        <v>20</v>
      </c>
      <c r="J9" s="148">
        <f>DF!G39</f>
        <v>0</v>
      </c>
      <c r="K9" s="63">
        <f>DF!H39</f>
        <v>34</v>
      </c>
      <c r="L9" s="20">
        <f t="shared" si="0"/>
        <v>0.58823529411764708</v>
      </c>
    </row>
    <row r="10" spans="5:17">
      <c r="E10" s="140" t="str">
        <f>DATOS!B8</f>
        <v>DIRECCIÓN DE RECURSOS HUMANOS Y MATERIALES</v>
      </c>
      <c r="F10" s="19" t="s">
        <v>22</v>
      </c>
      <c r="G10" s="19" t="s">
        <v>23</v>
      </c>
      <c r="H10" s="146">
        <f>DRHM!E67</f>
        <v>29</v>
      </c>
      <c r="I10" s="147">
        <f>DRHM!F67</f>
        <v>32</v>
      </c>
      <c r="J10" s="148">
        <f>DRHM!G67</f>
        <v>1</v>
      </c>
      <c r="K10" s="63">
        <f>DRHM!H67</f>
        <v>62</v>
      </c>
      <c r="L10" s="20">
        <f t="shared" si="0"/>
        <v>0.5161290322580645</v>
      </c>
    </row>
    <row r="11" spans="5:17">
      <c r="E11" s="141" t="str">
        <f>DATOS!B9</f>
        <v>DIRECCIÓN DE ASUSTOS JURÍDICOS</v>
      </c>
      <c r="F11" s="19" t="s">
        <v>24</v>
      </c>
      <c r="G11" s="19" t="s">
        <v>25</v>
      </c>
      <c r="H11" s="146">
        <f>DAJ!E24</f>
        <v>12</v>
      </c>
      <c r="I11" s="147">
        <f>DAJ!F24</f>
        <v>7</v>
      </c>
      <c r="J11" s="148">
        <f>DAJ!G24</f>
        <v>0</v>
      </c>
      <c r="K11" s="63">
        <f>DAJ!H24</f>
        <v>19</v>
      </c>
      <c r="L11" s="20">
        <f t="shared" si="0"/>
        <v>0.36842105263157893</v>
      </c>
    </row>
    <row r="12" spans="5:17">
      <c r="E12" s="142" t="str">
        <f>DATOS!B10</f>
        <v>DIRECCIÓN DE COMUNICACIÓN SOCIAL</v>
      </c>
      <c r="F12" s="19" t="s">
        <v>26</v>
      </c>
      <c r="G12" s="19" t="s">
        <v>27</v>
      </c>
      <c r="H12" s="146">
        <f>DCS!E44</f>
        <v>21</v>
      </c>
      <c r="I12" s="147">
        <f>DCS!F44</f>
        <v>18</v>
      </c>
      <c r="J12" s="148">
        <f>DCS!G44</f>
        <v>0</v>
      </c>
      <c r="K12" s="63">
        <f>DCS!H44</f>
        <v>39</v>
      </c>
      <c r="L12" s="20">
        <f t="shared" si="0"/>
        <v>0.46153846153846156</v>
      </c>
    </row>
    <row r="13" spans="5:17">
      <c r="E13" s="143" t="str">
        <f>DATOS!B14</f>
        <v>TITULAR DE AUDITORIA INTERNA Y QUEJAS</v>
      </c>
      <c r="F13" s="19" t="s">
        <v>28</v>
      </c>
      <c r="G13" s="19" t="s">
        <v>29</v>
      </c>
      <c r="H13" s="146">
        <f>OIC!E23</f>
        <v>14</v>
      </c>
      <c r="I13" s="147">
        <f>OIC!F23</f>
        <v>4</v>
      </c>
      <c r="J13" s="148">
        <f>OIC!G23</f>
        <v>0</v>
      </c>
      <c r="K13" s="63">
        <f>OIC!H23</f>
        <v>18</v>
      </c>
      <c r="L13" s="20">
        <f t="shared" si="0"/>
        <v>0.22222222222222221</v>
      </c>
    </row>
    <row r="14" spans="5:17">
      <c r="E14" s="144" t="str">
        <f>DATOS!B12</f>
        <v>SUBDIRECCIÓN DE SISTEMAS</v>
      </c>
      <c r="F14" s="19" t="s">
        <v>30</v>
      </c>
      <c r="G14" s="19" t="s">
        <v>31</v>
      </c>
      <c r="H14" s="146">
        <f>SS!E95</f>
        <v>31</v>
      </c>
      <c r="I14" s="147">
        <f>SS!F95</f>
        <v>59</v>
      </c>
      <c r="J14" s="148">
        <f>SS!G95</f>
        <v>0</v>
      </c>
      <c r="K14" s="63">
        <f>SS!H95</f>
        <v>90</v>
      </c>
      <c r="L14" s="20">
        <f t="shared" si="0"/>
        <v>0.65555555555555556</v>
      </c>
    </row>
    <row r="15" spans="5:17" ht="17.25" thickBot="1">
      <c r="E15" s="145" t="s">
        <v>32</v>
      </c>
      <c r="F15" s="21"/>
      <c r="G15" s="21"/>
      <c r="H15" s="246">
        <f>SUM(H4:H14)</f>
        <v>273</v>
      </c>
      <c r="I15" s="245">
        <f>SUM(I4:I14)</f>
        <v>226</v>
      </c>
      <c r="J15" s="247">
        <f>SUM(J4:J14)</f>
        <v>1</v>
      </c>
      <c r="K15" s="64">
        <f>SUM(H15:J15)</f>
        <v>500</v>
      </c>
      <c r="L15" s="22">
        <f>I15/K15</f>
        <v>0.45200000000000001</v>
      </c>
    </row>
    <row r="16" spans="5:17" ht="17.25" thickTop="1"/>
  </sheetData>
  <mergeCells count="2">
    <mergeCell ref="E2:L2"/>
    <mergeCell ref="F3:G3"/>
  </mergeCells>
  <hyperlinks>
    <hyperlink ref="E4" location="DG!A1" display="DIRECCIÓN GENERAL" xr:uid="{94CD8C88-7853-445E-BDFE-E24B7F7363EF}"/>
    <hyperlink ref="E5" location="DBEJ!A1" display="DBEJ!A1" xr:uid="{FB3B59B2-CA95-4806-A771-5C745FD9456A}"/>
    <hyperlink ref="E6" location="DIEJ!A1" display="DIEJ!A1" xr:uid="{3FF0A5CB-F6A5-4D99-A62B-97F0F326D714}"/>
    <hyperlink ref="E7" location="DCSR!A1" display="DCSR!A1" xr:uid="{D6B60174-28A4-4C37-82D2-EDAC950F6392}"/>
    <hyperlink ref="E8" location="DEC!A1" display="DEC!A1" xr:uid="{D32EE344-6DE1-4A33-9442-C559D21DD104}"/>
    <hyperlink ref="E9" location="DF!A1" display="DF!A1" xr:uid="{E912F872-7C38-4925-85F1-7946AA8CEB80}"/>
    <hyperlink ref="E10" location="DRHM!A1" display="DRHM!A1" xr:uid="{B4FEFEF0-B5EF-4A74-BDC6-9C63C954AAF0}"/>
    <hyperlink ref="E11" location="DAJ!A1" display="DAJ!A1" xr:uid="{C10E0FFE-D967-472F-857F-FF3C9C823618}"/>
    <hyperlink ref="E12" location="DCS!A1" display="DCS!A1" xr:uid="{3E8B1B8C-E607-40FD-90AB-1DA4CC138181}"/>
    <hyperlink ref="E13" location="OIC!A1" display="OIC!A1" xr:uid="{B2196388-810E-4936-95E0-43C273E1DE22}"/>
    <hyperlink ref="E14" location="SS!A1" display="SS!A1" xr:uid="{4B942757-97DE-4DB0-A710-F98515E63DD2}"/>
    <hyperlink ref="E15" location="SINDICATO!A1" display="SINDICATO" xr:uid="{82BB6A6C-B576-4363-A719-9E80BA934C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2873-3FC8-4C7D-89B5-4816A77A6EA1}">
  <sheetPr>
    <tabColor theme="4"/>
  </sheetPr>
  <dimension ref="A1:AA26"/>
  <sheetViews>
    <sheetView workbookViewId="0">
      <pane ySplit="2" topLeftCell="A3" activePane="bottomLeft" state="frozen"/>
      <selection pane="bottomLeft" activeCell="B17" sqref="B17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42578125" style="1" bestFit="1" customWidth="1"/>
    <col min="11" max="11" width="16.42578125" style="1" customWidth="1"/>
    <col min="12" max="12" width="6.42578125" style="1" bestFit="1" customWidth="1"/>
    <col min="13" max="22" width="14.140625" style="1" customWidth="1"/>
    <col min="23" max="23" width="19.425781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531" t="str">
        <f>RANGO!E4</f>
        <v>DIRECCIÓN GENERAL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  <c r="W1" s="532"/>
      <c r="X1" s="532"/>
      <c r="Y1" s="532"/>
      <c r="Z1" s="532"/>
      <c r="AA1" s="533"/>
    </row>
    <row r="2" spans="1:27" ht="27.75">
      <c r="A2" s="33" t="s">
        <v>33</v>
      </c>
      <c r="B2" s="34" t="s">
        <v>34</v>
      </c>
      <c r="C2" s="35" t="s">
        <v>35</v>
      </c>
      <c r="D2" s="35" t="s">
        <v>36</v>
      </c>
      <c r="E2" s="35" t="s">
        <v>37</v>
      </c>
      <c r="F2" s="34" t="s">
        <v>38</v>
      </c>
      <c r="G2" s="34" t="s">
        <v>39</v>
      </c>
      <c r="H2" s="35" t="s">
        <v>40</v>
      </c>
      <c r="I2" s="35" t="s">
        <v>41</v>
      </c>
      <c r="J2" s="35" t="s">
        <v>42</v>
      </c>
      <c r="K2" s="35" t="s">
        <v>43</v>
      </c>
      <c r="L2" s="35" t="s">
        <v>44</v>
      </c>
      <c r="M2" s="35" t="s">
        <v>45</v>
      </c>
      <c r="N2" s="35" t="s">
        <v>46</v>
      </c>
      <c r="O2" s="35" t="s">
        <v>47</v>
      </c>
      <c r="P2" s="35" t="s">
        <v>48</v>
      </c>
      <c r="Q2" s="35" t="s">
        <v>49</v>
      </c>
      <c r="R2" s="35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35" t="s">
        <v>55</v>
      </c>
      <c r="X2" s="35" t="s">
        <v>56</v>
      </c>
      <c r="Y2" s="35" t="s">
        <v>57</v>
      </c>
      <c r="Z2" s="34" t="s">
        <v>58</v>
      </c>
      <c r="AA2" s="36" t="s">
        <v>59</v>
      </c>
    </row>
    <row r="3" spans="1:27">
      <c r="A3" s="48">
        <v>1</v>
      </c>
      <c r="B3" s="39" t="s">
        <v>10</v>
      </c>
      <c r="C3" s="39" t="s">
        <v>60</v>
      </c>
      <c r="D3" s="39" t="s">
        <v>61</v>
      </c>
      <c r="E3" s="39" t="s">
        <v>62</v>
      </c>
      <c r="F3" s="39" t="s">
        <v>57</v>
      </c>
      <c r="G3" s="39" t="s">
        <v>63</v>
      </c>
      <c r="H3" s="39" t="s">
        <v>63</v>
      </c>
      <c r="I3" s="39" t="s">
        <v>64</v>
      </c>
      <c r="J3" s="39" t="s">
        <v>65</v>
      </c>
      <c r="K3" s="39" t="s">
        <v>66</v>
      </c>
      <c r="L3" s="39" t="s">
        <v>67</v>
      </c>
      <c r="M3" s="39" t="s">
        <v>68</v>
      </c>
      <c r="N3" s="39" t="s">
        <v>69</v>
      </c>
      <c r="O3" s="39" t="s">
        <v>69</v>
      </c>
      <c r="P3" s="39" t="s">
        <v>69</v>
      </c>
      <c r="Q3" s="39" t="s">
        <v>70</v>
      </c>
      <c r="R3" s="39" t="s">
        <v>69</v>
      </c>
      <c r="S3" s="39" t="s">
        <v>69</v>
      </c>
      <c r="T3" s="39" t="s">
        <v>69</v>
      </c>
      <c r="U3" s="39" t="s">
        <v>69</v>
      </c>
      <c r="V3" s="39" t="s">
        <v>71</v>
      </c>
      <c r="W3" s="39" t="s">
        <v>69</v>
      </c>
      <c r="X3" s="39" t="s">
        <v>69</v>
      </c>
      <c r="Y3" s="39" t="s">
        <v>72</v>
      </c>
      <c r="Z3" s="40" t="s">
        <v>73</v>
      </c>
      <c r="AA3" s="41" t="s">
        <v>74</v>
      </c>
    </row>
    <row r="4" spans="1:27" s="256" customFormat="1">
      <c r="A4" s="258">
        <v>2</v>
      </c>
      <c r="B4" s="259" t="s">
        <v>75</v>
      </c>
      <c r="C4" s="259" t="s">
        <v>76</v>
      </c>
      <c r="D4" s="259" t="s">
        <v>61</v>
      </c>
      <c r="E4" s="259" t="s">
        <v>62</v>
      </c>
      <c r="F4" s="259"/>
      <c r="G4" s="259" t="s">
        <v>77</v>
      </c>
      <c r="H4" s="259"/>
      <c r="I4" s="259"/>
      <c r="J4" s="262" t="s">
        <v>65</v>
      </c>
      <c r="K4" s="262" t="s">
        <v>66</v>
      </c>
      <c r="L4" s="262" t="s">
        <v>67</v>
      </c>
      <c r="M4" s="259" t="s">
        <v>78</v>
      </c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260" t="s">
        <v>73</v>
      </c>
      <c r="AA4" s="261"/>
    </row>
    <row r="5" spans="1:27">
      <c r="A5" s="49">
        <v>3</v>
      </c>
      <c r="B5" s="29" t="s">
        <v>79</v>
      </c>
      <c r="C5" s="29" t="s">
        <v>80</v>
      </c>
      <c r="D5" s="29" t="s">
        <v>81</v>
      </c>
      <c r="E5" s="29" t="s">
        <v>82</v>
      </c>
      <c r="F5" s="29" t="s">
        <v>83</v>
      </c>
      <c r="G5" s="29" t="s">
        <v>84</v>
      </c>
      <c r="H5" s="29" t="s">
        <v>85</v>
      </c>
      <c r="I5" s="29" t="s">
        <v>86</v>
      </c>
      <c r="J5" s="29" t="s">
        <v>87</v>
      </c>
      <c r="K5" s="29" t="s">
        <v>88</v>
      </c>
      <c r="L5" s="29" t="s">
        <v>89</v>
      </c>
      <c r="M5" s="29" t="s">
        <v>68</v>
      </c>
      <c r="N5" s="403" t="s">
        <v>90</v>
      </c>
      <c r="O5" s="403" t="s">
        <v>70</v>
      </c>
      <c r="P5" s="403" t="s">
        <v>90</v>
      </c>
      <c r="Q5" s="403" t="s">
        <v>70</v>
      </c>
      <c r="R5" s="403" t="s">
        <v>90</v>
      </c>
      <c r="S5" s="403" t="s">
        <v>70</v>
      </c>
      <c r="T5" s="403" t="s">
        <v>90</v>
      </c>
      <c r="U5" s="403" t="s">
        <v>69</v>
      </c>
      <c r="V5" s="403" t="s">
        <v>70</v>
      </c>
      <c r="W5" s="403" t="s">
        <v>69</v>
      </c>
      <c r="X5" s="403" t="s">
        <v>90</v>
      </c>
      <c r="Y5" s="403" t="s">
        <v>70</v>
      </c>
      <c r="Z5" s="42" t="s">
        <v>73</v>
      </c>
      <c r="AA5" s="43"/>
    </row>
    <row r="6" spans="1:27">
      <c r="A6" s="49">
        <v>4</v>
      </c>
      <c r="B6" s="29" t="s">
        <v>91</v>
      </c>
      <c r="C6" s="29" t="s">
        <v>89</v>
      </c>
      <c r="D6" s="29" t="s">
        <v>92</v>
      </c>
      <c r="E6" s="29" t="s">
        <v>62</v>
      </c>
      <c r="F6" s="29" t="s">
        <v>57</v>
      </c>
      <c r="G6" s="29" t="s">
        <v>85</v>
      </c>
      <c r="H6" s="29" t="s">
        <v>85</v>
      </c>
      <c r="I6" s="29" t="s">
        <v>85</v>
      </c>
      <c r="J6" s="29" t="s">
        <v>65</v>
      </c>
      <c r="K6" s="29" t="s">
        <v>66</v>
      </c>
      <c r="L6" s="29" t="s">
        <v>89</v>
      </c>
      <c r="M6" s="29" t="s">
        <v>78</v>
      </c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2" t="s">
        <v>73</v>
      </c>
      <c r="AA6" s="43"/>
    </row>
    <row r="7" spans="1:27">
      <c r="A7" s="49">
        <v>5</v>
      </c>
      <c r="B7" s="29" t="s">
        <v>93</v>
      </c>
      <c r="C7" s="29" t="s">
        <v>94</v>
      </c>
      <c r="D7" s="29" t="s">
        <v>61</v>
      </c>
      <c r="E7" s="29" t="s">
        <v>82</v>
      </c>
      <c r="F7" s="29" t="s">
        <v>83</v>
      </c>
      <c r="G7" s="151" t="s">
        <v>95</v>
      </c>
      <c r="H7" s="29" t="s">
        <v>85</v>
      </c>
      <c r="I7" s="29" t="s">
        <v>96</v>
      </c>
      <c r="J7" s="29" t="s">
        <v>65</v>
      </c>
      <c r="K7" s="29" t="s">
        <v>66</v>
      </c>
      <c r="L7" s="29" t="s">
        <v>89</v>
      </c>
      <c r="M7" s="29" t="s">
        <v>68</v>
      </c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3"/>
      <c r="Z7" s="42" t="s">
        <v>73</v>
      </c>
      <c r="AA7" s="43"/>
    </row>
    <row r="8" spans="1:27">
      <c r="A8" s="49">
        <v>6</v>
      </c>
      <c r="B8" s="29" t="s">
        <v>97</v>
      </c>
      <c r="C8" s="29" t="s">
        <v>98</v>
      </c>
      <c r="D8" s="29" t="s">
        <v>81</v>
      </c>
      <c r="E8" s="29" t="s">
        <v>82</v>
      </c>
      <c r="F8" s="29" t="s">
        <v>83</v>
      </c>
      <c r="G8" s="151" t="s">
        <v>99</v>
      </c>
      <c r="H8" s="29" t="s">
        <v>85</v>
      </c>
      <c r="I8" s="29" t="s">
        <v>100</v>
      </c>
      <c r="J8" s="29" t="s">
        <v>87</v>
      </c>
      <c r="K8" s="29" t="s">
        <v>66</v>
      </c>
      <c r="L8" s="29" t="s">
        <v>101</v>
      </c>
      <c r="M8" s="29" t="s">
        <v>68</v>
      </c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403"/>
      <c r="Y8" s="403"/>
      <c r="Z8" s="42" t="s">
        <v>73</v>
      </c>
      <c r="AA8" s="43"/>
    </row>
    <row r="9" spans="1:27" s="272" customFormat="1">
      <c r="A9" s="267">
        <v>7</v>
      </c>
      <c r="B9" s="268" t="s">
        <v>102</v>
      </c>
      <c r="C9" s="268"/>
      <c r="D9" s="268"/>
      <c r="E9" s="268"/>
      <c r="F9" s="268"/>
      <c r="G9" s="269"/>
      <c r="H9" s="268"/>
      <c r="I9" s="268"/>
      <c r="J9" s="268"/>
      <c r="K9" s="268"/>
      <c r="L9" s="268"/>
      <c r="M9" s="268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270" t="s">
        <v>73</v>
      </c>
      <c r="AA9" s="271"/>
    </row>
    <row r="10" spans="1:27">
      <c r="A10" s="49">
        <v>8</v>
      </c>
      <c r="B10" s="29" t="s">
        <v>103</v>
      </c>
      <c r="C10" s="29" t="s">
        <v>104</v>
      </c>
      <c r="D10" s="29" t="s">
        <v>105</v>
      </c>
      <c r="E10" s="29" t="s">
        <v>62</v>
      </c>
      <c r="F10" s="29" t="s">
        <v>57</v>
      </c>
      <c r="G10" s="29" t="s">
        <v>106</v>
      </c>
      <c r="H10" s="29" t="s">
        <v>85</v>
      </c>
      <c r="I10" s="29" t="s">
        <v>107</v>
      </c>
      <c r="J10" s="29" t="s">
        <v>65</v>
      </c>
      <c r="K10" s="29" t="s">
        <v>66</v>
      </c>
      <c r="L10" s="29" t="s">
        <v>89</v>
      </c>
      <c r="M10" s="29" t="s">
        <v>68</v>
      </c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2" t="s">
        <v>73</v>
      </c>
      <c r="AA10" s="43"/>
    </row>
    <row r="11" spans="1:27" s="272" customFormat="1">
      <c r="A11" s="267">
        <v>9</v>
      </c>
      <c r="B11" s="268" t="s">
        <v>108</v>
      </c>
      <c r="C11" s="268" t="s">
        <v>109</v>
      </c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270" t="s">
        <v>110</v>
      </c>
      <c r="AA11" s="271"/>
    </row>
    <row r="12" spans="1:27" s="290" customFormat="1">
      <c r="A12" s="377">
        <v>10</v>
      </c>
      <c r="B12" s="378" t="s">
        <v>111</v>
      </c>
      <c r="C12" s="378" t="s">
        <v>112</v>
      </c>
      <c r="D12" s="378" t="s">
        <v>61</v>
      </c>
      <c r="E12" s="378" t="s">
        <v>62</v>
      </c>
      <c r="F12" s="378" t="s">
        <v>57</v>
      </c>
      <c r="G12" s="378"/>
      <c r="H12" s="378"/>
      <c r="I12" s="378"/>
      <c r="J12" s="378" t="s">
        <v>65</v>
      </c>
      <c r="K12" s="378" t="s">
        <v>66</v>
      </c>
      <c r="L12" s="378" t="s">
        <v>101</v>
      </c>
      <c r="M12" s="378"/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379" t="s">
        <v>73</v>
      </c>
      <c r="AA12" s="380"/>
    </row>
    <row r="13" spans="1:27">
      <c r="A13" s="49">
        <v>11</v>
      </c>
      <c r="B13" s="29" t="s">
        <v>113</v>
      </c>
      <c r="C13" s="29" t="s">
        <v>114</v>
      </c>
      <c r="D13" s="29" t="s">
        <v>61</v>
      </c>
      <c r="E13" s="29" t="s">
        <v>62</v>
      </c>
      <c r="F13" s="29" t="s">
        <v>57</v>
      </c>
      <c r="G13" s="29"/>
      <c r="H13" s="29"/>
      <c r="I13" s="29"/>
      <c r="J13" s="29" t="s">
        <v>65</v>
      </c>
      <c r="K13" s="29" t="s">
        <v>66</v>
      </c>
      <c r="L13" s="29" t="s">
        <v>89</v>
      </c>
      <c r="M13" s="29"/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2" t="s">
        <v>73</v>
      </c>
      <c r="AA13" s="43"/>
    </row>
    <row r="14" spans="1:27">
      <c r="A14" s="49">
        <v>12</v>
      </c>
      <c r="B14" s="29" t="s">
        <v>115</v>
      </c>
      <c r="C14" s="29" t="s">
        <v>116</v>
      </c>
      <c r="D14" s="29" t="s">
        <v>81</v>
      </c>
      <c r="E14" s="29" t="s">
        <v>62</v>
      </c>
      <c r="F14" s="29"/>
      <c r="G14" s="29"/>
      <c r="H14" s="29"/>
      <c r="I14" s="29"/>
      <c r="J14" s="29" t="s">
        <v>87</v>
      </c>
      <c r="K14" s="29" t="s">
        <v>88</v>
      </c>
      <c r="L14" s="29" t="s">
        <v>117</v>
      </c>
      <c r="M14" s="29"/>
      <c r="N14" s="403" t="s">
        <v>69</v>
      </c>
      <c r="O14" s="403" t="s">
        <v>90</v>
      </c>
      <c r="P14" s="403" t="s">
        <v>70</v>
      </c>
      <c r="Q14" s="403" t="s">
        <v>70</v>
      </c>
      <c r="R14" s="403" t="s">
        <v>69</v>
      </c>
      <c r="S14" s="403" t="s">
        <v>69</v>
      </c>
      <c r="T14" s="403" t="s">
        <v>69</v>
      </c>
      <c r="U14" s="403" t="s">
        <v>69</v>
      </c>
      <c r="V14" s="403" t="s">
        <v>70</v>
      </c>
      <c r="W14" s="403" t="s">
        <v>69</v>
      </c>
      <c r="X14" s="403" t="s">
        <v>90</v>
      </c>
      <c r="Y14" s="403" t="s">
        <v>70</v>
      </c>
      <c r="Z14" s="42" t="s">
        <v>73</v>
      </c>
      <c r="AA14" s="43"/>
    </row>
    <row r="15" spans="1:27" s="290" customFormat="1">
      <c r="A15" s="377">
        <v>13</v>
      </c>
      <c r="B15" s="378" t="s">
        <v>118</v>
      </c>
      <c r="C15" s="378" t="s">
        <v>119</v>
      </c>
      <c r="D15" s="378" t="s">
        <v>81</v>
      </c>
      <c r="E15" s="378" t="s">
        <v>82</v>
      </c>
      <c r="F15" s="378" t="s">
        <v>120</v>
      </c>
      <c r="G15" s="151" t="s">
        <v>99</v>
      </c>
      <c r="H15" s="378" t="s">
        <v>85</v>
      </c>
      <c r="I15" s="378"/>
      <c r="J15" s="378" t="s">
        <v>87</v>
      </c>
      <c r="K15" s="378" t="s">
        <v>66</v>
      </c>
      <c r="L15" s="378" t="s">
        <v>121</v>
      </c>
      <c r="M15" s="378" t="s">
        <v>68</v>
      </c>
      <c r="N15" s="403" t="s">
        <v>90</v>
      </c>
      <c r="O15" s="403" t="s">
        <v>90</v>
      </c>
      <c r="P15" s="403" t="s">
        <v>90</v>
      </c>
      <c r="Q15" s="403" t="s">
        <v>70</v>
      </c>
      <c r="R15" s="403" t="s">
        <v>90</v>
      </c>
      <c r="S15" s="403" t="s">
        <v>70</v>
      </c>
      <c r="T15" s="403" t="s">
        <v>90</v>
      </c>
      <c r="U15" s="403" t="s">
        <v>69</v>
      </c>
      <c r="V15" s="403" t="s">
        <v>70</v>
      </c>
      <c r="W15" s="403" t="s">
        <v>69</v>
      </c>
      <c r="X15" s="403" t="s">
        <v>70</v>
      </c>
      <c r="Y15" s="403" t="s">
        <v>70</v>
      </c>
      <c r="Z15" s="379" t="s">
        <v>73</v>
      </c>
      <c r="AA15" s="380"/>
    </row>
    <row r="16" spans="1:27" s="248" customFormat="1">
      <c r="A16" s="263">
        <v>14</v>
      </c>
      <c r="B16" s="264" t="s">
        <v>11</v>
      </c>
      <c r="C16" s="264" t="s">
        <v>76</v>
      </c>
      <c r="D16" s="264" t="s">
        <v>92</v>
      </c>
      <c r="E16" s="264" t="s">
        <v>62</v>
      </c>
      <c r="F16" s="264"/>
      <c r="G16" s="264"/>
      <c r="H16" s="264"/>
      <c r="I16" s="264"/>
      <c r="J16" s="264" t="s">
        <v>65</v>
      </c>
      <c r="K16" s="264" t="s">
        <v>66</v>
      </c>
      <c r="L16" s="264" t="s">
        <v>89</v>
      </c>
      <c r="M16" s="264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265" t="s">
        <v>73</v>
      </c>
      <c r="AA16" s="266"/>
    </row>
    <row r="19" spans="4:26">
      <c r="D19" s="534" t="s">
        <v>122</v>
      </c>
      <c r="E19" s="23" t="s">
        <v>123</v>
      </c>
      <c r="F19" s="24" t="s">
        <v>124</v>
      </c>
      <c r="G19" s="25" t="s">
        <v>125</v>
      </c>
      <c r="H19" s="26" t="s">
        <v>126</v>
      </c>
      <c r="J19" s="541" t="s">
        <v>122</v>
      </c>
      <c r="K19" s="543" t="s">
        <v>127</v>
      </c>
      <c r="L19" s="543"/>
      <c r="M19" s="543" t="s">
        <v>128</v>
      </c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5"/>
    </row>
    <row r="20" spans="4:26">
      <c r="D20" s="535"/>
      <c r="E20" s="27">
        <f>COUNTIF($Z$3:$Z$16,DATOS!O2)</f>
        <v>1</v>
      </c>
      <c r="F20" s="27">
        <f>COUNTIF($Z$3:$Z$16,DATOS!O3)</f>
        <v>13</v>
      </c>
      <c r="G20" s="27">
        <f>COUNTIF($Z$3:$Z$16,DATOS!O4)</f>
        <v>0</v>
      </c>
      <c r="H20" s="28">
        <f>SUM(E20:G20)</f>
        <v>14</v>
      </c>
      <c r="J20" s="542"/>
      <c r="K20" s="546">
        <f>COUNTIF(M3:$M$16,DATOS!Q2)</f>
        <v>6</v>
      </c>
      <c r="L20" s="546"/>
      <c r="M20" s="546">
        <f>COUNTIF($M3:AA$16,DATOS!Q3)</f>
        <v>2</v>
      </c>
      <c r="N20" s="547"/>
      <c r="O20" s="547"/>
      <c r="P20" s="547"/>
      <c r="Q20" s="547"/>
      <c r="R20" s="547"/>
      <c r="S20" s="547"/>
      <c r="T20" s="547"/>
      <c r="U20" s="547"/>
      <c r="V20" s="547"/>
      <c r="W20" s="547"/>
      <c r="X20" s="547"/>
      <c r="Y20" s="547"/>
      <c r="Z20" s="548"/>
    </row>
    <row r="22" spans="4:26" ht="37.5" customHeight="1">
      <c r="D22" s="536" t="s">
        <v>129</v>
      </c>
      <c r="E22" s="29" t="str">
        <f>DATOS!G2</f>
        <v>INALÁMBRICO</v>
      </c>
      <c r="F22" s="29" t="str">
        <f>DATOS!G3</f>
        <v>ALÁMBRICO</v>
      </c>
      <c r="G22" s="30" t="str">
        <f>DATOS!G4</f>
        <v>ALÁMBRICO/INALÁMBRICO</v>
      </c>
      <c r="J22" s="538" t="s">
        <v>130</v>
      </c>
      <c r="K22" s="539"/>
      <c r="L22" s="539"/>
      <c r="M22" s="539"/>
      <c r="N22" s="539"/>
      <c r="O22" s="539"/>
      <c r="P22" s="539"/>
      <c r="Q22" s="539"/>
      <c r="R22" s="539"/>
      <c r="S22" s="539"/>
      <c r="T22" s="539"/>
      <c r="U22" s="539"/>
      <c r="V22" s="539"/>
      <c r="W22" s="539"/>
      <c r="X22" s="539"/>
      <c r="Y22" s="539"/>
      <c r="Z22" s="540"/>
    </row>
    <row r="23" spans="4:26">
      <c r="D23" s="537"/>
      <c r="E23" s="31">
        <f>COUNTIF(J3:$J$16,DATOS!G2)</f>
        <v>8</v>
      </c>
      <c r="F23" s="31">
        <f>COUNTIF($J3:$J$16,DATOS!G3)</f>
        <v>4</v>
      </c>
      <c r="G23" s="32">
        <f>COUNTIF($J3:$J$16,DATOS!G4)</f>
        <v>0</v>
      </c>
    </row>
    <row r="25" spans="4:26">
      <c r="D25" s="536" t="s">
        <v>131</v>
      </c>
      <c r="E25" s="1" t="s">
        <v>132</v>
      </c>
      <c r="G25" s="1" t="s">
        <v>133</v>
      </c>
    </row>
    <row r="26" spans="4:26">
      <c r="D26" s="537"/>
    </row>
  </sheetData>
  <mergeCells count="10">
    <mergeCell ref="A1:AA1"/>
    <mergeCell ref="D19:D20"/>
    <mergeCell ref="D22:D23"/>
    <mergeCell ref="J22:Z22"/>
    <mergeCell ref="D25:D26"/>
    <mergeCell ref="J19:J20"/>
    <mergeCell ref="K19:L19"/>
    <mergeCell ref="M19:Z19"/>
    <mergeCell ref="K20:L20"/>
    <mergeCell ref="M20:Z20"/>
  </mergeCells>
  <phoneticPr fontId="8" type="noConversion"/>
  <dataValidations count="1">
    <dataValidation allowBlank="1" showInputMessage="1" showErrorMessage="1" sqref="Q3:Q16 V3:V16 Y3:Y16" xr:uid="{CA6A13F0-D848-43D8-9860-08D5E7538CF2}"/>
  </dataValidations>
  <hyperlinks>
    <hyperlink ref="J22" location="RANGO!A1" display="REGRESAR A LA PESTALLA PRINCIPAL" xr:uid="{661FBDB5-DC54-4C71-BF45-E81ED47A7DF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369283-33F1-4981-9006-17CC5D34F150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ABBCFEA5-E1F2-412B-B170-CB0A480A2725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048B45E0-354B-4002-83C8-6CB809C27F5F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56B15D9-FEA5-4EC9-9817-0BDA95D8E404}">
          <x14:formula1>
            <xm:f>DATOS!$M$2:$M$3</xm:f>
          </x14:formula1>
          <xm:sqref>E3:E16</xm:sqref>
        </x14:dataValidation>
        <x14:dataValidation type="list" allowBlank="1" showInputMessage="1" showErrorMessage="1" xr:uid="{E182B55D-F71B-4031-BA43-247D5E7F942B}">
          <x14:formula1>
            <xm:f>DATOS!$K$2:$K$13</xm:f>
          </x14:formula1>
          <xm:sqref>F3:F16</xm:sqref>
        </x14:dataValidation>
        <x14:dataValidation type="list" allowBlank="1" showInputMessage="1" showErrorMessage="1" xr:uid="{0B94AAAD-218C-4237-9604-28DEF73F94FE}">
          <x14:formula1>
            <xm:f>DATOS!$G$2:$G$4</xm:f>
          </x14:formula1>
          <xm:sqref>J3:J16</xm:sqref>
        </x14:dataValidation>
        <x14:dataValidation type="list" allowBlank="1" showInputMessage="1" showErrorMessage="1" xr:uid="{CB5EA7BC-3457-4DB9-9AD4-D851139CF18D}">
          <x14:formula1>
            <xm:f>DATOS!$I$2:$I$3</xm:f>
          </x14:formula1>
          <xm:sqref>K3:K16</xm:sqref>
        </x14:dataValidation>
        <x14:dataValidation type="list" allowBlank="1" showInputMessage="1" showErrorMessage="1" xr:uid="{5592D725-0DDE-4E74-AB78-2425956AD5F7}">
          <x14:formula1>
            <xm:f>DATOS!$C$2:$C$13</xm:f>
          </x14:formula1>
          <xm:sqref>L3:L16</xm:sqref>
        </x14:dataValidation>
        <x14:dataValidation type="list" allowBlank="1" showInputMessage="1" showErrorMessage="1" xr:uid="{513D23B0-7488-4F1A-A37E-C273EFADFD6F}">
          <x14:formula1>
            <xm:f>DATOS!$O$2:$O$4</xm:f>
          </x14:formula1>
          <xm:sqref>Z3:Z16</xm:sqref>
        </x14:dataValidation>
        <x14:dataValidation type="list" allowBlank="1" showInputMessage="1" showErrorMessage="1" xr:uid="{7A842B16-B009-447B-A517-AFA29C18C13E}">
          <x14:formula1>
            <xm:f>DATOS!$E$2:$E$7</xm:f>
          </x14:formula1>
          <xm:sqref>D3:D16</xm:sqref>
        </x14:dataValidation>
        <x14:dataValidation type="list" allowBlank="1" showInputMessage="1" showErrorMessage="1" xr:uid="{854A9625-E3C2-4230-9135-302230E3FA56}">
          <x14:formula1>
            <xm:f>DATOS!$Q$2:$Q$3</xm:f>
          </x14:formula1>
          <xm:sqref>M3:M16</xm:sqref>
        </x14:dataValidation>
        <x14:dataValidation type="list" allowBlank="1" showInputMessage="1" showErrorMessage="1" xr:uid="{60294F8D-55A7-4025-99EE-CB36605007FB}">
          <x14:formula1>
            <xm:f>DATOS!$R$2:$R$3</xm:f>
          </x14:formula1>
          <xm:sqref>N3:P16 R3:U16 W3:X16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2947-E824-4593-850B-59E31CEFB446}">
  <sheetPr>
    <tabColor theme="8" tint="-0.499984740745262"/>
  </sheetPr>
  <dimension ref="A1:AA92"/>
  <sheetViews>
    <sheetView workbookViewId="0">
      <pane ySplit="2" topLeftCell="A7" activePane="bottomLeft" state="frozen"/>
      <selection pane="bottomLeft" sqref="A1:AA1"/>
      <selection activeCell="B1" sqref="B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42578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2.425781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551" t="str">
        <f>RANGO!E5</f>
        <v>DIRECCIÓN DE BIENESTAR Y ESTIMULOS A LA JUVENTUD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3"/>
    </row>
    <row r="2" spans="1:27" ht="27.75">
      <c r="A2" s="44" t="s">
        <v>33</v>
      </c>
      <c r="B2" s="45" t="s">
        <v>34</v>
      </c>
      <c r="C2" s="46" t="s">
        <v>35</v>
      </c>
      <c r="D2" s="46" t="s">
        <v>36</v>
      </c>
      <c r="E2" s="46" t="s">
        <v>37</v>
      </c>
      <c r="F2" s="45" t="s">
        <v>38</v>
      </c>
      <c r="G2" s="45" t="s">
        <v>39</v>
      </c>
      <c r="H2" s="46" t="s">
        <v>40</v>
      </c>
      <c r="I2" s="46" t="s">
        <v>41</v>
      </c>
      <c r="J2" s="46" t="s">
        <v>42</v>
      </c>
      <c r="K2" s="46" t="s">
        <v>43</v>
      </c>
      <c r="L2" s="46" t="s">
        <v>44</v>
      </c>
      <c r="M2" s="46" t="s">
        <v>45</v>
      </c>
      <c r="N2" s="46" t="s">
        <v>46</v>
      </c>
      <c r="O2" s="46" t="s">
        <v>47</v>
      </c>
      <c r="P2" s="46" t="s">
        <v>48</v>
      </c>
      <c r="Q2" s="46" t="s">
        <v>49</v>
      </c>
      <c r="R2" s="46" t="s">
        <v>50</v>
      </c>
      <c r="S2" s="46" t="s">
        <v>51</v>
      </c>
      <c r="T2" s="46" t="s">
        <v>52</v>
      </c>
      <c r="U2" s="46" t="s">
        <v>53</v>
      </c>
      <c r="V2" s="46" t="s">
        <v>54</v>
      </c>
      <c r="W2" s="46" t="s">
        <v>55</v>
      </c>
      <c r="X2" s="46" t="s">
        <v>56</v>
      </c>
      <c r="Y2" s="46" t="s">
        <v>57</v>
      </c>
      <c r="Z2" s="45" t="s">
        <v>58</v>
      </c>
      <c r="AA2" s="47" t="s">
        <v>59</v>
      </c>
    </row>
    <row r="3" spans="1:27">
      <c r="A3" s="60">
        <v>1</v>
      </c>
      <c r="B3" s="56" t="s">
        <v>12</v>
      </c>
      <c r="C3" s="522" t="s">
        <v>134</v>
      </c>
      <c r="D3" s="56" t="s">
        <v>92</v>
      </c>
      <c r="E3" s="56" t="s">
        <v>62</v>
      </c>
      <c r="F3" s="56" t="s">
        <v>135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61" t="s">
        <v>110</v>
      </c>
      <c r="AA3" s="62"/>
    </row>
    <row r="4" spans="1:27" s="290" customFormat="1">
      <c r="A4" s="286">
        <v>2</v>
      </c>
      <c r="B4" s="287" t="s">
        <v>136</v>
      </c>
      <c r="C4" s="466" t="s">
        <v>137</v>
      </c>
      <c r="D4" s="287" t="s">
        <v>92</v>
      </c>
      <c r="E4" s="287" t="s">
        <v>62</v>
      </c>
      <c r="F4" s="287" t="s">
        <v>138</v>
      </c>
      <c r="G4" s="287"/>
      <c r="H4" s="287"/>
      <c r="I4" s="287"/>
      <c r="J4" s="287"/>
      <c r="K4" s="287"/>
      <c r="L4" s="287"/>
      <c r="M4" s="287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288" t="s">
        <v>110</v>
      </c>
      <c r="AA4" s="289"/>
    </row>
    <row r="5" spans="1:27">
      <c r="A5" s="60">
        <v>3</v>
      </c>
      <c r="B5" s="56" t="s">
        <v>139</v>
      </c>
      <c r="C5" s="522" t="s">
        <v>140</v>
      </c>
      <c r="D5" s="56" t="s">
        <v>92</v>
      </c>
      <c r="E5" s="56" t="s">
        <v>62</v>
      </c>
      <c r="F5" s="56" t="s">
        <v>135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61" t="s">
        <v>110</v>
      </c>
      <c r="AA5" s="62"/>
    </row>
    <row r="6" spans="1:27">
      <c r="A6" s="60">
        <v>4</v>
      </c>
      <c r="B6" s="56" t="s">
        <v>141</v>
      </c>
      <c r="C6" s="522" t="s">
        <v>142</v>
      </c>
      <c r="D6" s="56" t="s">
        <v>92</v>
      </c>
      <c r="E6" s="56" t="s">
        <v>62</v>
      </c>
      <c r="F6" s="56" t="s">
        <v>135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61" t="s">
        <v>110</v>
      </c>
      <c r="AA6" s="62"/>
    </row>
    <row r="7" spans="1:27">
      <c r="A7" s="60">
        <v>5</v>
      </c>
      <c r="B7" s="56" t="s">
        <v>143</v>
      </c>
      <c r="C7" s="522" t="s">
        <v>144</v>
      </c>
      <c r="D7" s="56" t="s">
        <v>92</v>
      </c>
      <c r="E7" s="56" t="s">
        <v>62</v>
      </c>
      <c r="F7" s="56" t="s">
        <v>145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61" t="s">
        <v>110</v>
      </c>
      <c r="AA7" s="62"/>
    </row>
    <row r="8" spans="1:27">
      <c r="A8" s="60">
        <v>6</v>
      </c>
      <c r="B8" s="56" t="s">
        <v>146</v>
      </c>
      <c r="C8" s="466" t="s">
        <v>147</v>
      </c>
      <c r="D8" s="56" t="s">
        <v>61</v>
      </c>
      <c r="E8" s="56" t="s">
        <v>62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61" t="s">
        <v>110</v>
      </c>
      <c r="AA8" s="62" t="s">
        <v>148</v>
      </c>
    </row>
    <row r="9" spans="1:27">
      <c r="A9" s="60">
        <v>7</v>
      </c>
      <c r="B9" s="56" t="s">
        <v>149</v>
      </c>
      <c r="C9" s="466" t="s">
        <v>150</v>
      </c>
      <c r="D9" s="56" t="s">
        <v>61</v>
      </c>
      <c r="E9" s="56" t="s">
        <v>62</v>
      </c>
      <c r="F9" s="56" t="s">
        <v>151</v>
      </c>
      <c r="G9" s="56"/>
      <c r="H9" s="56"/>
      <c r="I9" s="56"/>
      <c r="J9" s="56" t="s">
        <v>65</v>
      </c>
      <c r="K9" s="56" t="s">
        <v>66</v>
      </c>
      <c r="L9" s="56" t="s">
        <v>152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61" t="s">
        <v>73</v>
      </c>
      <c r="AA9" s="342"/>
    </row>
    <row r="10" spans="1:27">
      <c r="A10" s="60">
        <v>8</v>
      </c>
      <c r="B10" s="56" t="s">
        <v>153</v>
      </c>
      <c r="C10" s="466" t="s">
        <v>154</v>
      </c>
      <c r="D10" s="56" t="s">
        <v>155</v>
      </c>
      <c r="E10" s="56" t="s">
        <v>62</v>
      </c>
      <c r="F10" s="56" t="s">
        <v>138</v>
      </c>
      <c r="G10" s="56"/>
      <c r="H10" s="56"/>
      <c r="I10" s="56"/>
      <c r="J10" s="56" t="s">
        <v>65</v>
      </c>
      <c r="K10" s="56" t="s">
        <v>66</v>
      </c>
      <c r="L10" s="56" t="s">
        <v>152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61" t="s">
        <v>73</v>
      </c>
      <c r="AA10" s="342"/>
    </row>
    <row r="11" spans="1:27">
      <c r="A11" s="60">
        <v>9</v>
      </c>
      <c r="B11" s="56" t="s">
        <v>156</v>
      </c>
      <c r="C11" s="466" t="s">
        <v>157</v>
      </c>
      <c r="D11" s="56" t="s">
        <v>61</v>
      </c>
      <c r="E11" s="56" t="s">
        <v>62</v>
      </c>
      <c r="F11" s="56" t="s">
        <v>83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61" t="s">
        <v>110</v>
      </c>
      <c r="AA11" s="342"/>
    </row>
    <row r="12" spans="1:27">
      <c r="A12" s="60">
        <v>10</v>
      </c>
      <c r="B12" s="56" t="s">
        <v>158</v>
      </c>
      <c r="C12" s="466" t="s">
        <v>159</v>
      </c>
      <c r="D12" s="56" t="s">
        <v>61</v>
      </c>
      <c r="E12" s="56" t="s">
        <v>82</v>
      </c>
      <c r="F12" s="56" t="s">
        <v>83</v>
      </c>
      <c r="G12" s="56" t="s">
        <v>95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61" t="s">
        <v>73</v>
      </c>
      <c r="AA12" s="342" t="s">
        <v>160</v>
      </c>
    </row>
    <row r="13" spans="1:27">
      <c r="A13" s="60">
        <v>11</v>
      </c>
      <c r="B13" s="56" t="s">
        <v>161</v>
      </c>
      <c r="C13" s="466" t="s">
        <v>162</v>
      </c>
      <c r="D13" s="56" t="s">
        <v>61</v>
      </c>
      <c r="E13" s="56" t="s">
        <v>82</v>
      </c>
      <c r="F13" s="56" t="s">
        <v>83</v>
      </c>
      <c r="G13" s="56" t="s">
        <v>95</v>
      </c>
      <c r="H13" s="56"/>
      <c r="I13" s="56"/>
      <c r="J13" s="56" t="s">
        <v>65</v>
      </c>
      <c r="K13" s="56" t="s">
        <v>66</v>
      </c>
      <c r="L13" s="56" t="s">
        <v>152</v>
      </c>
      <c r="M13" s="56" t="s">
        <v>68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61" t="s">
        <v>73</v>
      </c>
      <c r="AA13" s="342"/>
    </row>
    <row r="14" spans="1:27">
      <c r="A14" s="60">
        <v>12</v>
      </c>
      <c r="B14" s="56" t="s">
        <v>163</v>
      </c>
      <c r="C14" s="466" t="s">
        <v>164</v>
      </c>
      <c r="D14" s="56" t="s">
        <v>61</v>
      </c>
      <c r="E14" s="56" t="s">
        <v>82</v>
      </c>
      <c r="F14" s="56" t="s">
        <v>83</v>
      </c>
      <c r="G14" s="56" t="s">
        <v>95</v>
      </c>
      <c r="H14" s="56" t="s">
        <v>85</v>
      </c>
      <c r="I14" s="56" t="s">
        <v>165</v>
      </c>
      <c r="J14" s="56" t="s">
        <v>65</v>
      </c>
      <c r="K14" s="56" t="s">
        <v>66</v>
      </c>
      <c r="L14" s="56" t="s">
        <v>152</v>
      </c>
      <c r="M14" s="56" t="s">
        <v>78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61" t="s">
        <v>73</v>
      </c>
      <c r="AA14" s="342" t="s">
        <v>166</v>
      </c>
    </row>
    <row r="15" spans="1:27">
      <c r="A15" s="60">
        <v>13</v>
      </c>
      <c r="B15" s="56" t="s">
        <v>167</v>
      </c>
      <c r="C15" s="46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61" t="s">
        <v>110</v>
      </c>
      <c r="AA15" s="342"/>
    </row>
    <row r="16" spans="1:27">
      <c r="A16" s="60">
        <v>14</v>
      </c>
      <c r="B16" s="56" t="s">
        <v>168</v>
      </c>
      <c r="C16" s="466" t="s">
        <v>169</v>
      </c>
      <c r="D16" s="56" t="s">
        <v>155</v>
      </c>
      <c r="E16" s="56" t="s">
        <v>62</v>
      </c>
      <c r="F16" s="56"/>
      <c r="G16" s="56"/>
      <c r="H16" s="56"/>
      <c r="I16" s="56"/>
      <c r="J16" s="56" t="s">
        <v>65</v>
      </c>
      <c r="K16" s="56" t="s">
        <v>66</v>
      </c>
      <c r="L16" s="56" t="s">
        <v>152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61" t="s">
        <v>73</v>
      </c>
      <c r="AA16" s="342"/>
    </row>
    <row r="17" spans="1:27">
      <c r="A17" s="60">
        <v>15</v>
      </c>
      <c r="B17" s="56" t="s">
        <v>170</v>
      </c>
      <c r="C17" s="467"/>
      <c r="D17" s="56"/>
      <c r="E17" s="56"/>
      <c r="F17" s="56"/>
      <c r="G17" s="87"/>
      <c r="H17" s="29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61" t="s">
        <v>110</v>
      </c>
      <c r="AA17" s="343"/>
    </row>
    <row r="18" spans="1:27">
      <c r="A18" s="60">
        <v>16</v>
      </c>
      <c r="B18" s="56" t="s">
        <v>171</v>
      </c>
      <c r="C18" s="466" t="s">
        <v>172</v>
      </c>
      <c r="D18" s="56" t="s">
        <v>61</v>
      </c>
      <c r="E18" s="56" t="s">
        <v>82</v>
      </c>
      <c r="F18" s="56" t="s">
        <v>83</v>
      </c>
      <c r="G18" s="56" t="s">
        <v>95</v>
      </c>
      <c r="H18" s="56" t="s">
        <v>173</v>
      </c>
      <c r="I18" s="56" t="s">
        <v>174</v>
      </c>
      <c r="J18" s="56" t="s">
        <v>65</v>
      </c>
      <c r="K18" s="56" t="s">
        <v>66</v>
      </c>
      <c r="L18" s="56" t="s">
        <v>152</v>
      </c>
      <c r="M18" s="56" t="s">
        <v>68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61" t="s">
        <v>73</v>
      </c>
      <c r="AA18" s="341" t="s">
        <v>160</v>
      </c>
    </row>
    <row r="19" spans="1:27">
      <c r="A19" s="60">
        <v>17</v>
      </c>
      <c r="B19" s="56" t="s">
        <v>175</v>
      </c>
      <c r="C19" s="466" t="s">
        <v>176</v>
      </c>
      <c r="D19" s="56" t="s">
        <v>61</v>
      </c>
      <c r="E19" s="56" t="s">
        <v>62</v>
      </c>
      <c r="F19" s="56" t="s">
        <v>120</v>
      </c>
      <c r="G19" s="56" t="s">
        <v>177</v>
      </c>
      <c r="H19" s="56"/>
      <c r="I19" s="56"/>
      <c r="J19" s="56" t="s">
        <v>65</v>
      </c>
      <c r="K19" s="56" t="s">
        <v>66</v>
      </c>
      <c r="L19" s="56" t="s">
        <v>152</v>
      </c>
      <c r="M19" s="56" t="s">
        <v>68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61" t="s">
        <v>73</v>
      </c>
      <c r="AA19" s="343" t="s">
        <v>178</v>
      </c>
    </row>
    <row r="20" spans="1:27">
      <c r="A20" s="60">
        <v>18</v>
      </c>
      <c r="B20" s="56" t="s">
        <v>179</v>
      </c>
      <c r="C20" s="466" t="s">
        <v>180</v>
      </c>
      <c r="D20" s="56" t="s">
        <v>61</v>
      </c>
      <c r="E20" s="56" t="s">
        <v>82</v>
      </c>
      <c r="F20" s="56" t="s">
        <v>83</v>
      </c>
      <c r="G20" s="56" t="s">
        <v>95</v>
      </c>
      <c r="H20" s="56" t="s">
        <v>85</v>
      </c>
      <c r="I20" s="56" t="s">
        <v>181</v>
      </c>
      <c r="J20" s="56" t="s">
        <v>65</v>
      </c>
      <c r="K20" s="56" t="s">
        <v>66</v>
      </c>
      <c r="L20" s="56" t="s">
        <v>152</v>
      </c>
      <c r="M20" s="56" t="s">
        <v>78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61" t="s">
        <v>73</v>
      </c>
      <c r="AA20" s="343" t="s">
        <v>160</v>
      </c>
    </row>
    <row r="21" spans="1:27">
      <c r="A21" s="60">
        <v>19</v>
      </c>
      <c r="B21" s="56" t="s">
        <v>182</v>
      </c>
      <c r="C21" s="466" t="s">
        <v>183</v>
      </c>
      <c r="D21" s="56" t="s">
        <v>61</v>
      </c>
      <c r="E21" s="56" t="s">
        <v>82</v>
      </c>
      <c r="F21" s="56" t="s">
        <v>83</v>
      </c>
      <c r="G21" s="56" t="s">
        <v>95</v>
      </c>
      <c r="H21" s="56" t="s">
        <v>184</v>
      </c>
      <c r="I21" s="56" t="s">
        <v>185</v>
      </c>
      <c r="J21" s="56" t="s">
        <v>65</v>
      </c>
      <c r="K21" s="56" t="s">
        <v>66</v>
      </c>
      <c r="L21" s="56" t="s">
        <v>152</v>
      </c>
      <c r="M21" s="56" t="s">
        <v>68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61" t="s">
        <v>73</v>
      </c>
      <c r="AA21" s="343"/>
    </row>
    <row r="22" spans="1:27">
      <c r="A22" s="60">
        <v>20</v>
      </c>
      <c r="B22" s="56" t="s">
        <v>186</v>
      </c>
      <c r="C22" s="466" t="s">
        <v>187</v>
      </c>
      <c r="D22" s="56" t="s">
        <v>155</v>
      </c>
      <c r="E22" s="56" t="s">
        <v>62</v>
      </c>
      <c r="F22" s="56" t="s">
        <v>188</v>
      </c>
      <c r="G22" s="56" t="s">
        <v>63</v>
      </c>
      <c r="H22" s="56" t="s">
        <v>189</v>
      </c>
      <c r="I22" s="56" t="s">
        <v>190</v>
      </c>
      <c r="J22" s="56" t="s">
        <v>65</v>
      </c>
      <c r="K22" s="56" t="s">
        <v>66</v>
      </c>
      <c r="L22" s="56" t="s">
        <v>152</v>
      </c>
      <c r="M22" s="56" t="s">
        <v>68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61" t="s">
        <v>73</v>
      </c>
      <c r="AA22" s="343"/>
    </row>
    <row r="23" spans="1:27">
      <c r="A23" s="60">
        <v>21</v>
      </c>
      <c r="B23" s="56" t="s">
        <v>191</v>
      </c>
      <c r="C23" s="466" t="s">
        <v>192</v>
      </c>
      <c r="D23" s="56" t="s">
        <v>61</v>
      </c>
      <c r="E23" s="56" t="s">
        <v>82</v>
      </c>
      <c r="F23" s="56" t="s">
        <v>83</v>
      </c>
      <c r="G23" s="56" t="s">
        <v>95</v>
      </c>
      <c r="H23" s="56" t="s">
        <v>85</v>
      </c>
      <c r="I23" s="56" t="s">
        <v>193</v>
      </c>
      <c r="J23" s="56" t="s">
        <v>65</v>
      </c>
      <c r="K23" s="56"/>
      <c r="L23" s="56" t="s">
        <v>194</v>
      </c>
      <c r="M23" s="56" t="s">
        <v>68</v>
      </c>
      <c r="N23" s="56" t="s">
        <v>69</v>
      </c>
      <c r="O23" s="56" t="s">
        <v>90</v>
      </c>
      <c r="P23" s="56" t="s">
        <v>90</v>
      </c>
      <c r="Q23" s="56" t="s">
        <v>195</v>
      </c>
      <c r="R23" s="56" t="s">
        <v>90</v>
      </c>
      <c r="S23" s="56" t="s">
        <v>90</v>
      </c>
      <c r="T23" s="56" t="s">
        <v>90</v>
      </c>
      <c r="U23" s="56" t="s">
        <v>69</v>
      </c>
      <c r="V23" s="56" t="s">
        <v>195</v>
      </c>
      <c r="W23" s="56" t="s">
        <v>69</v>
      </c>
      <c r="X23" s="56" t="s">
        <v>90</v>
      </c>
      <c r="Y23" s="56"/>
      <c r="Z23" s="61" t="s">
        <v>73</v>
      </c>
      <c r="AA23" s="343" t="s">
        <v>196</v>
      </c>
    </row>
    <row r="24" spans="1:27">
      <c r="A24" s="60">
        <v>22</v>
      </c>
      <c r="B24" s="56" t="s">
        <v>197</v>
      </c>
      <c r="C24" s="466" t="s">
        <v>198</v>
      </c>
      <c r="D24" s="56" t="s">
        <v>61</v>
      </c>
      <c r="E24" s="56" t="s">
        <v>82</v>
      </c>
      <c r="F24" s="56" t="s">
        <v>83</v>
      </c>
      <c r="G24" s="56" t="s">
        <v>95</v>
      </c>
      <c r="H24" s="56" t="s">
        <v>85</v>
      </c>
      <c r="I24" s="56" t="s">
        <v>199</v>
      </c>
      <c r="J24" s="56" t="s">
        <v>65</v>
      </c>
      <c r="K24" s="56" t="s">
        <v>66</v>
      </c>
      <c r="L24" s="56" t="s">
        <v>152</v>
      </c>
      <c r="M24" s="56" t="s">
        <v>68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61" t="s">
        <v>73</v>
      </c>
      <c r="AA24" s="343"/>
    </row>
    <row r="25" spans="1:27">
      <c r="A25" s="60">
        <v>23</v>
      </c>
      <c r="B25" s="56" t="s">
        <v>200</v>
      </c>
      <c r="C25" s="46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61" t="s">
        <v>110</v>
      </c>
      <c r="AA25" s="343"/>
    </row>
    <row r="26" spans="1:27">
      <c r="A26" s="60">
        <v>24</v>
      </c>
      <c r="B26" s="56" t="s">
        <v>201</v>
      </c>
      <c r="C26" s="466" t="s">
        <v>202</v>
      </c>
      <c r="D26" s="56" t="s">
        <v>61</v>
      </c>
      <c r="E26" s="56" t="s">
        <v>82</v>
      </c>
      <c r="F26" s="56" t="s">
        <v>83</v>
      </c>
      <c r="G26" s="56" t="s">
        <v>95</v>
      </c>
      <c r="H26" s="56" t="s">
        <v>63</v>
      </c>
      <c r="I26" s="56"/>
      <c r="J26" s="56" t="s">
        <v>65</v>
      </c>
      <c r="K26" s="56" t="s">
        <v>66</v>
      </c>
      <c r="L26" s="56" t="s">
        <v>152</v>
      </c>
      <c r="M26" s="56" t="s">
        <v>68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61" t="s">
        <v>110</v>
      </c>
      <c r="AA26" s="343"/>
    </row>
    <row r="27" spans="1:27">
      <c r="A27" s="60">
        <v>25</v>
      </c>
      <c r="B27" s="56" t="s">
        <v>203</v>
      </c>
      <c r="C27" s="46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61" t="s">
        <v>73</v>
      </c>
      <c r="AA27" s="343" t="s">
        <v>160</v>
      </c>
    </row>
    <row r="28" spans="1:27">
      <c r="A28" s="60">
        <v>26</v>
      </c>
      <c r="B28" s="56" t="s">
        <v>204</v>
      </c>
      <c r="C28" s="466" t="s">
        <v>205</v>
      </c>
      <c r="D28" s="56" t="s">
        <v>61</v>
      </c>
      <c r="E28" s="56" t="s">
        <v>82</v>
      </c>
      <c r="F28" s="56" t="s">
        <v>83</v>
      </c>
      <c r="G28" s="56" t="s">
        <v>95</v>
      </c>
      <c r="H28" s="56" t="s">
        <v>206</v>
      </c>
      <c r="I28" s="56" t="s">
        <v>207</v>
      </c>
      <c r="J28" s="56" t="s">
        <v>65</v>
      </c>
      <c r="K28" s="56" t="s">
        <v>66</v>
      </c>
      <c r="L28" s="56" t="s">
        <v>152</v>
      </c>
      <c r="M28" s="56" t="s">
        <v>68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61" t="s">
        <v>73</v>
      </c>
      <c r="AA28" s="343"/>
    </row>
    <row r="29" spans="1:27">
      <c r="A29" s="60">
        <v>27</v>
      </c>
      <c r="B29" s="56" t="s">
        <v>208</v>
      </c>
      <c r="C29" s="466" t="s">
        <v>209</v>
      </c>
      <c r="D29" s="56" t="s">
        <v>61</v>
      </c>
      <c r="E29" s="56" t="s">
        <v>82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61" t="s">
        <v>110</v>
      </c>
      <c r="AA29" s="343"/>
    </row>
    <row r="30" spans="1:27">
      <c r="A30" s="60">
        <v>28</v>
      </c>
      <c r="B30" s="56" t="s">
        <v>210</v>
      </c>
      <c r="C30" s="466" t="s">
        <v>211</v>
      </c>
      <c r="D30" s="56" t="s">
        <v>61</v>
      </c>
      <c r="E30" s="56" t="s">
        <v>82</v>
      </c>
      <c r="F30" s="56" t="s">
        <v>83</v>
      </c>
      <c r="G30" s="56" t="s">
        <v>95</v>
      </c>
      <c r="H30" s="56" t="s">
        <v>85</v>
      </c>
      <c r="I30" s="56" t="s">
        <v>212</v>
      </c>
      <c r="J30" s="56" t="s">
        <v>65</v>
      </c>
      <c r="K30" s="56" t="s">
        <v>66</v>
      </c>
      <c r="L30" s="56" t="s">
        <v>152</v>
      </c>
      <c r="M30" s="56" t="s">
        <v>68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61" t="s">
        <v>73</v>
      </c>
      <c r="AA30" s="343"/>
    </row>
    <row r="31" spans="1:27">
      <c r="A31" s="60">
        <v>29</v>
      </c>
      <c r="B31" s="56" t="s">
        <v>213</v>
      </c>
      <c r="C31" s="466" t="s">
        <v>214</v>
      </c>
      <c r="D31" s="56" t="s">
        <v>61</v>
      </c>
      <c r="E31" s="56" t="s">
        <v>62</v>
      </c>
      <c r="F31" s="56" t="s">
        <v>215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61" t="s">
        <v>110</v>
      </c>
      <c r="AA31" s="343"/>
    </row>
    <row r="32" spans="1:27">
      <c r="A32" s="60">
        <v>30</v>
      </c>
      <c r="B32" s="56" t="s">
        <v>216</v>
      </c>
      <c r="C32" s="46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61" t="s">
        <v>110</v>
      </c>
      <c r="AA32" s="343"/>
    </row>
    <row r="33" spans="1:27">
      <c r="A33" s="60">
        <v>31</v>
      </c>
      <c r="B33" s="56" t="s">
        <v>217</v>
      </c>
      <c r="C33" s="466" t="s">
        <v>218</v>
      </c>
      <c r="D33" s="56" t="s">
        <v>61</v>
      </c>
      <c r="E33" s="56" t="s">
        <v>82</v>
      </c>
      <c r="F33" s="56" t="s">
        <v>83</v>
      </c>
      <c r="G33" s="56" t="s">
        <v>95</v>
      </c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61" t="s">
        <v>110</v>
      </c>
      <c r="AA33" s="343"/>
    </row>
    <row r="34" spans="1:27">
      <c r="A34" s="60">
        <v>32</v>
      </c>
      <c r="B34" s="56" t="s">
        <v>219</v>
      </c>
      <c r="C34" s="46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61" t="s">
        <v>110</v>
      </c>
      <c r="AA34" s="343"/>
    </row>
    <row r="35" spans="1:27">
      <c r="A35" s="60">
        <v>33</v>
      </c>
      <c r="B35" s="56" t="s">
        <v>220</v>
      </c>
      <c r="C35" s="468" t="s">
        <v>221</v>
      </c>
      <c r="D35" s="297" t="s">
        <v>61</v>
      </c>
      <c r="E35" s="297" t="s">
        <v>82</v>
      </c>
      <c r="F35" s="297" t="s">
        <v>83</v>
      </c>
      <c r="G35" s="297" t="s">
        <v>95</v>
      </c>
      <c r="H35" s="297"/>
      <c r="I35" s="297"/>
      <c r="J35" s="297"/>
      <c r="K35" s="297"/>
      <c r="L35" s="297"/>
      <c r="M35" s="297"/>
      <c r="N35" s="402"/>
      <c r="O35" s="402"/>
      <c r="P35" s="402"/>
      <c r="Q35" s="402"/>
      <c r="R35" s="402"/>
      <c r="S35" s="402"/>
      <c r="T35" s="402"/>
      <c r="U35" s="402"/>
      <c r="V35" s="402"/>
      <c r="W35" s="402"/>
      <c r="X35" s="402"/>
      <c r="Y35" s="402"/>
      <c r="Z35" s="61" t="s">
        <v>73</v>
      </c>
      <c r="AA35" s="343" t="s">
        <v>160</v>
      </c>
    </row>
    <row r="36" spans="1:27">
      <c r="A36" s="60">
        <v>34</v>
      </c>
      <c r="B36" s="298" t="s">
        <v>222</v>
      </c>
      <c r="C36" s="463" t="s">
        <v>223</v>
      </c>
      <c r="D36" s="297" t="s">
        <v>81</v>
      </c>
      <c r="E36" s="297" t="s">
        <v>82</v>
      </c>
      <c r="F36" s="297" t="s">
        <v>83</v>
      </c>
      <c r="G36" s="297" t="s">
        <v>224</v>
      </c>
      <c r="H36" s="282"/>
      <c r="I36" s="282"/>
      <c r="J36" s="297" t="s">
        <v>87</v>
      </c>
      <c r="K36" s="282" t="s">
        <v>66</v>
      </c>
      <c r="L36" s="282"/>
      <c r="M36" s="282"/>
      <c r="N36" s="402"/>
      <c r="O36" s="402"/>
      <c r="P36" s="402"/>
      <c r="Q36" s="402"/>
      <c r="R36" s="402"/>
      <c r="S36" s="402"/>
      <c r="T36" s="402"/>
      <c r="U36" s="402"/>
      <c r="V36" s="402"/>
      <c r="W36" s="402"/>
      <c r="X36" s="402"/>
      <c r="Y36" s="402"/>
      <c r="Z36" s="299" t="s">
        <v>73</v>
      </c>
      <c r="AA36" s="343" t="s">
        <v>225</v>
      </c>
    </row>
    <row r="37" spans="1:27">
      <c r="A37" s="60">
        <v>35</v>
      </c>
      <c r="B37" s="56" t="s">
        <v>226</v>
      </c>
      <c r="C37" s="459" t="s">
        <v>227</v>
      </c>
      <c r="D37" s="70" t="s">
        <v>61</v>
      </c>
      <c r="E37" s="70" t="s">
        <v>82</v>
      </c>
      <c r="F37" s="70" t="s">
        <v>83</v>
      </c>
      <c r="G37" s="526" t="s">
        <v>95</v>
      </c>
      <c r="H37" s="70" t="s">
        <v>85</v>
      </c>
      <c r="I37" s="70" t="s">
        <v>228</v>
      </c>
      <c r="J37" s="70" t="s">
        <v>65</v>
      </c>
      <c r="K37" s="70" t="s">
        <v>66</v>
      </c>
      <c r="L37" s="70" t="s">
        <v>194</v>
      </c>
      <c r="M37" s="70" t="s">
        <v>68</v>
      </c>
      <c r="N37" s="402"/>
      <c r="O37" s="402"/>
      <c r="P37" s="402"/>
      <c r="Q37" s="402"/>
      <c r="R37" s="402"/>
      <c r="S37" s="402"/>
      <c r="T37" s="402"/>
      <c r="U37" s="402"/>
      <c r="V37" s="402"/>
      <c r="W37" s="402"/>
      <c r="X37" s="402"/>
      <c r="Y37" s="402"/>
      <c r="Z37" s="61" t="s">
        <v>110</v>
      </c>
      <c r="AA37" s="343"/>
    </row>
    <row r="38" spans="1:27">
      <c r="A38" s="60">
        <v>36</v>
      </c>
      <c r="B38" s="56" t="s">
        <v>229</v>
      </c>
      <c r="C38" s="466" t="s">
        <v>230</v>
      </c>
      <c r="D38" s="56" t="s">
        <v>61</v>
      </c>
      <c r="E38" s="56" t="s">
        <v>82</v>
      </c>
      <c r="F38" s="56" t="s">
        <v>83</v>
      </c>
      <c r="G38" s="56"/>
      <c r="H38" s="56"/>
      <c r="I38" s="56"/>
      <c r="J38" s="56" t="s">
        <v>65</v>
      </c>
      <c r="K38" s="56" t="s">
        <v>66</v>
      </c>
      <c r="L38" s="56" t="s">
        <v>152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61" t="s">
        <v>73</v>
      </c>
      <c r="AA38" s="343" t="s">
        <v>231</v>
      </c>
    </row>
    <row r="39" spans="1:27">
      <c r="A39" s="60">
        <v>37</v>
      </c>
      <c r="B39" s="56" t="s">
        <v>232</v>
      </c>
      <c r="C39" s="466" t="s">
        <v>233</v>
      </c>
      <c r="D39" s="56" t="s">
        <v>61</v>
      </c>
      <c r="E39" s="56" t="s">
        <v>62</v>
      </c>
      <c r="F39" s="56" t="s">
        <v>138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61" t="s">
        <v>110</v>
      </c>
      <c r="AA39" s="343"/>
    </row>
    <row r="40" spans="1:27">
      <c r="A40" s="60">
        <v>38</v>
      </c>
      <c r="B40" s="56" t="s">
        <v>234</v>
      </c>
      <c r="C40" s="466" t="s">
        <v>235</v>
      </c>
      <c r="D40" s="56" t="s">
        <v>92</v>
      </c>
      <c r="E40" s="56" t="s">
        <v>62</v>
      </c>
      <c r="F40" s="56" t="s">
        <v>138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61" t="s">
        <v>110</v>
      </c>
      <c r="AA40" s="343"/>
    </row>
    <row r="41" spans="1:27">
      <c r="A41" s="60">
        <v>39</v>
      </c>
      <c r="B41" s="56" t="s">
        <v>236</v>
      </c>
      <c r="C41" s="466" t="s">
        <v>237</v>
      </c>
      <c r="D41" s="56" t="s">
        <v>61</v>
      </c>
      <c r="E41" s="56" t="s">
        <v>62</v>
      </c>
      <c r="F41" s="56" t="s">
        <v>151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61" t="s">
        <v>110</v>
      </c>
      <c r="AA41" s="343"/>
    </row>
    <row r="42" spans="1:27">
      <c r="A42" s="60">
        <v>40</v>
      </c>
      <c r="B42" s="56" t="s">
        <v>238</v>
      </c>
      <c r="C42" s="466"/>
      <c r="D42" s="56"/>
      <c r="E42" s="56"/>
      <c r="F42" s="56"/>
      <c r="G42" s="56"/>
      <c r="H42" s="56"/>
      <c r="I42" s="30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1" t="s">
        <v>110</v>
      </c>
      <c r="AA42" s="343"/>
    </row>
    <row r="43" spans="1:27">
      <c r="A43" s="60">
        <v>41</v>
      </c>
      <c r="B43" s="56" t="s">
        <v>239</v>
      </c>
      <c r="C43" s="466" t="s">
        <v>240</v>
      </c>
      <c r="D43" s="56" t="s">
        <v>81</v>
      </c>
      <c r="E43" s="56" t="s">
        <v>82</v>
      </c>
      <c r="F43" s="56" t="s">
        <v>83</v>
      </c>
      <c r="G43" s="56" t="s">
        <v>84</v>
      </c>
      <c r="H43" s="56" t="s">
        <v>241</v>
      </c>
      <c r="I43" s="56" t="s">
        <v>242</v>
      </c>
      <c r="J43" s="56" t="s">
        <v>87</v>
      </c>
      <c r="K43" s="56" t="s">
        <v>66</v>
      </c>
      <c r="L43" s="56" t="s">
        <v>152</v>
      </c>
      <c r="M43" s="56" t="s">
        <v>68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61" t="s">
        <v>73</v>
      </c>
      <c r="AA43" s="343"/>
    </row>
    <row r="44" spans="1:27">
      <c r="A44" s="60">
        <v>42</v>
      </c>
      <c r="B44" s="56" t="s">
        <v>243</v>
      </c>
      <c r="C44" s="466" t="s">
        <v>154</v>
      </c>
      <c r="D44" s="56" t="s">
        <v>61</v>
      </c>
      <c r="E44" s="56" t="s">
        <v>62</v>
      </c>
      <c r="F44" s="56" t="s">
        <v>151</v>
      </c>
      <c r="G44" s="56"/>
      <c r="H44" s="56"/>
      <c r="I44" s="56"/>
      <c r="J44" s="56" t="s">
        <v>65</v>
      </c>
      <c r="K44" s="56" t="s">
        <v>66</v>
      </c>
      <c r="L44" s="56" t="s">
        <v>152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61" t="s">
        <v>73</v>
      </c>
      <c r="AA44" s="343" t="s">
        <v>231</v>
      </c>
    </row>
    <row r="45" spans="1:27">
      <c r="A45" s="60">
        <v>43</v>
      </c>
      <c r="B45" s="56" t="s">
        <v>244</v>
      </c>
      <c r="C45" s="472" t="s">
        <v>245</v>
      </c>
      <c r="D45" s="56" t="s">
        <v>92</v>
      </c>
      <c r="E45" s="56" t="s">
        <v>62</v>
      </c>
      <c r="F45" s="56" t="s">
        <v>138</v>
      </c>
      <c r="G45" s="56"/>
      <c r="H45" s="56"/>
      <c r="I45" s="56"/>
      <c r="J45" s="56"/>
      <c r="K45" s="56"/>
      <c r="L45" s="56" t="s">
        <v>246</v>
      </c>
      <c r="M45" s="56" t="s">
        <v>68</v>
      </c>
      <c r="N45" s="56" t="s">
        <v>69</v>
      </c>
      <c r="O45" s="56" t="s">
        <v>69</v>
      </c>
      <c r="P45" s="56" t="s">
        <v>69</v>
      </c>
      <c r="Q45" s="56" t="s">
        <v>70</v>
      </c>
      <c r="R45" s="56" t="s">
        <v>69</v>
      </c>
      <c r="S45" s="56" t="s">
        <v>69</v>
      </c>
      <c r="T45" s="56" t="s">
        <v>69</v>
      </c>
      <c r="U45" s="56" t="s">
        <v>69</v>
      </c>
      <c r="V45" s="56" t="s">
        <v>70</v>
      </c>
      <c r="W45" s="56" t="s">
        <v>69</v>
      </c>
      <c r="X45" s="56" t="s">
        <v>69</v>
      </c>
      <c r="Y45" s="56" t="s">
        <v>70</v>
      </c>
      <c r="Z45" s="61" t="s">
        <v>73</v>
      </c>
      <c r="AA45" s="343" t="s">
        <v>148</v>
      </c>
    </row>
    <row r="46" spans="1:27">
      <c r="A46" s="60">
        <v>44</v>
      </c>
      <c r="B46" s="56" t="s">
        <v>247</v>
      </c>
      <c r="C46" s="466" t="s">
        <v>248</v>
      </c>
      <c r="D46" s="56" t="s">
        <v>61</v>
      </c>
      <c r="E46" s="56" t="s">
        <v>82</v>
      </c>
      <c r="F46" s="56" t="s">
        <v>83</v>
      </c>
      <c r="G46" s="56" t="s">
        <v>95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61" t="s">
        <v>110</v>
      </c>
      <c r="AA46" s="343"/>
    </row>
    <row r="47" spans="1:27">
      <c r="A47" s="60">
        <v>45</v>
      </c>
      <c r="B47" s="56" t="s">
        <v>249</v>
      </c>
      <c r="C47" s="466" t="s">
        <v>250</v>
      </c>
      <c r="D47" s="56" t="s">
        <v>92</v>
      </c>
      <c r="E47" s="56" t="s">
        <v>62</v>
      </c>
      <c r="F47" s="56" t="s">
        <v>57</v>
      </c>
      <c r="G47" s="56" t="s">
        <v>85</v>
      </c>
      <c r="H47" s="56" t="s">
        <v>85</v>
      </c>
      <c r="I47" s="56" t="s">
        <v>251</v>
      </c>
      <c r="J47" s="56" t="s">
        <v>65</v>
      </c>
      <c r="K47" s="56" t="s">
        <v>66</v>
      </c>
      <c r="L47" s="56" t="s">
        <v>152</v>
      </c>
      <c r="M47" s="56" t="s">
        <v>78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61" t="s">
        <v>73</v>
      </c>
      <c r="AA47" s="343"/>
    </row>
    <row r="48" spans="1:27">
      <c r="A48" s="60">
        <v>46</v>
      </c>
      <c r="B48" s="56" t="s">
        <v>252</v>
      </c>
      <c r="C48" s="466" t="s">
        <v>253</v>
      </c>
      <c r="D48" s="56" t="s">
        <v>61</v>
      </c>
      <c r="E48" s="56" t="s">
        <v>62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61" t="s">
        <v>110</v>
      </c>
      <c r="AA48" s="343"/>
    </row>
    <row r="49" spans="1:27">
      <c r="A49" s="60">
        <v>47</v>
      </c>
      <c r="B49" s="56" t="s">
        <v>254</v>
      </c>
      <c r="C49" s="46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61" t="s">
        <v>110</v>
      </c>
      <c r="AA49" s="343"/>
    </row>
    <row r="50" spans="1:27">
      <c r="A50" s="60">
        <v>48</v>
      </c>
      <c r="B50" s="56" t="s">
        <v>255</v>
      </c>
      <c r="C50" s="466" t="s">
        <v>256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61" t="s">
        <v>110</v>
      </c>
      <c r="AA50" s="343"/>
    </row>
    <row r="51" spans="1:27">
      <c r="A51" s="60">
        <v>49</v>
      </c>
      <c r="B51" s="56" t="s">
        <v>257</v>
      </c>
      <c r="C51" s="466" t="s">
        <v>157</v>
      </c>
      <c r="D51" s="56" t="s">
        <v>92</v>
      </c>
      <c r="E51" s="56" t="s">
        <v>62</v>
      </c>
      <c r="F51" s="56" t="s">
        <v>138</v>
      </c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61" t="s">
        <v>110</v>
      </c>
      <c r="AA51" s="343"/>
    </row>
    <row r="52" spans="1:27">
      <c r="A52" s="60">
        <v>50</v>
      </c>
      <c r="B52" s="56" t="s">
        <v>258</v>
      </c>
      <c r="C52" s="466" t="s">
        <v>259</v>
      </c>
      <c r="D52" s="56" t="s">
        <v>81</v>
      </c>
      <c r="E52" s="56" t="s">
        <v>82</v>
      </c>
      <c r="F52" s="56" t="s">
        <v>83</v>
      </c>
      <c r="G52" s="56" t="s">
        <v>84</v>
      </c>
      <c r="H52" s="56" t="s">
        <v>260</v>
      </c>
      <c r="I52" s="56" t="s">
        <v>261</v>
      </c>
      <c r="J52" s="56" t="s">
        <v>87</v>
      </c>
      <c r="K52" s="56" t="s">
        <v>66</v>
      </c>
      <c r="L52" s="56" t="s">
        <v>152</v>
      </c>
      <c r="M52" s="56" t="s">
        <v>68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61" t="s">
        <v>73</v>
      </c>
      <c r="AA52" s="343"/>
    </row>
    <row r="53" spans="1:27">
      <c r="A53" s="60">
        <v>51</v>
      </c>
      <c r="B53" s="56" t="s">
        <v>262</v>
      </c>
      <c r="C53" s="466" t="s">
        <v>263</v>
      </c>
      <c r="D53" s="56" t="s">
        <v>61</v>
      </c>
      <c r="E53" s="56" t="s">
        <v>82</v>
      </c>
      <c r="F53" s="56" t="s">
        <v>83</v>
      </c>
      <c r="G53" s="56" t="s">
        <v>95</v>
      </c>
      <c r="H53" s="56" t="s">
        <v>85</v>
      </c>
      <c r="I53" s="56" t="s">
        <v>264</v>
      </c>
      <c r="J53" s="56" t="s">
        <v>65</v>
      </c>
      <c r="K53" s="56" t="s">
        <v>66</v>
      </c>
      <c r="L53" s="56" t="s">
        <v>152</v>
      </c>
      <c r="M53" s="56" t="s">
        <v>68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61" t="s">
        <v>73</v>
      </c>
      <c r="AA53" s="343"/>
    </row>
    <row r="54" spans="1:27">
      <c r="A54" s="60">
        <v>52</v>
      </c>
      <c r="B54" s="56" t="s">
        <v>265</v>
      </c>
      <c r="C54" s="466" t="s">
        <v>266</v>
      </c>
      <c r="D54" s="56" t="s">
        <v>61</v>
      </c>
      <c r="E54" s="56" t="s">
        <v>62</v>
      </c>
      <c r="F54" s="56" t="s">
        <v>151</v>
      </c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61" t="s">
        <v>110</v>
      </c>
      <c r="AA54" s="343"/>
    </row>
    <row r="55" spans="1:27">
      <c r="A55" s="60">
        <v>53</v>
      </c>
      <c r="B55" s="56" t="s">
        <v>267</v>
      </c>
      <c r="C55" s="466" t="s">
        <v>268</v>
      </c>
      <c r="D55" s="56" t="s">
        <v>92</v>
      </c>
      <c r="E55" s="56" t="s">
        <v>62</v>
      </c>
      <c r="F55" s="56" t="s">
        <v>57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61" t="s">
        <v>110</v>
      </c>
      <c r="AA55" s="343"/>
    </row>
    <row r="56" spans="1:27">
      <c r="A56" s="60">
        <v>54</v>
      </c>
      <c r="B56" s="56" t="s">
        <v>269</v>
      </c>
      <c r="C56" s="46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61" t="s">
        <v>110</v>
      </c>
      <c r="AA56" s="343"/>
    </row>
    <row r="57" spans="1:27">
      <c r="A57" s="60">
        <v>55</v>
      </c>
      <c r="B57" s="56" t="s">
        <v>270</v>
      </c>
      <c r="C57" s="433" t="s">
        <v>271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61" t="s">
        <v>110</v>
      </c>
      <c r="AA57" s="343"/>
    </row>
    <row r="58" spans="1:27">
      <c r="A58" s="60">
        <v>56</v>
      </c>
      <c r="B58" s="56" t="s">
        <v>272</v>
      </c>
      <c r="C58" s="466" t="s">
        <v>273</v>
      </c>
      <c r="D58" s="56" t="s">
        <v>81</v>
      </c>
      <c r="E58" s="56" t="s">
        <v>82</v>
      </c>
      <c r="F58" s="56" t="s">
        <v>188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61" t="s">
        <v>110</v>
      </c>
      <c r="AA58" s="343"/>
    </row>
    <row r="59" spans="1:27">
      <c r="A59" s="60">
        <v>57</v>
      </c>
      <c r="B59" s="56" t="s">
        <v>274</v>
      </c>
      <c r="C59" s="46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61" t="s">
        <v>110</v>
      </c>
      <c r="AA59" s="343"/>
    </row>
    <row r="60" spans="1:27">
      <c r="A60" s="60">
        <v>58</v>
      </c>
      <c r="B60" s="56" t="s">
        <v>275</v>
      </c>
      <c r="C60" s="466" t="s">
        <v>276</v>
      </c>
      <c r="D60" s="56" t="s">
        <v>61</v>
      </c>
      <c r="E60" s="56" t="s">
        <v>62</v>
      </c>
      <c r="F60" s="56" t="s">
        <v>57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61" t="s">
        <v>110</v>
      </c>
      <c r="AA60" s="343"/>
    </row>
    <row r="61" spans="1:27">
      <c r="A61" s="60">
        <v>59</v>
      </c>
      <c r="B61" s="56" t="s">
        <v>277</v>
      </c>
      <c r="C61" s="46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61" t="s">
        <v>110</v>
      </c>
      <c r="AA61" s="343"/>
    </row>
    <row r="62" spans="1:27">
      <c r="A62" s="60">
        <v>60</v>
      </c>
      <c r="B62" s="56" t="s">
        <v>278</v>
      </c>
      <c r="C62" s="466" t="s">
        <v>279</v>
      </c>
      <c r="D62" s="56" t="s">
        <v>61</v>
      </c>
      <c r="E62" s="56" t="s">
        <v>82</v>
      </c>
      <c r="F62" s="56" t="s">
        <v>83</v>
      </c>
      <c r="G62" s="56"/>
      <c r="H62" s="56"/>
      <c r="I62" s="56"/>
      <c r="J62" s="56"/>
      <c r="K62" s="56"/>
      <c r="L62" s="56"/>
      <c r="M62" s="56" t="s">
        <v>78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344" t="s">
        <v>73</v>
      </c>
      <c r="AA62" s="343"/>
    </row>
    <row r="63" spans="1:27">
      <c r="A63" s="60">
        <v>61</v>
      </c>
      <c r="B63" s="56" t="s">
        <v>280</v>
      </c>
      <c r="C63" s="46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61" t="s">
        <v>110</v>
      </c>
      <c r="AA63" s="343"/>
    </row>
    <row r="64" spans="1:27">
      <c r="A64" s="60">
        <v>62</v>
      </c>
      <c r="B64" s="56" t="s">
        <v>281</v>
      </c>
      <c r="C64" s="1" t="s">
        <v>282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61" t="s">
        <v>110</v>
      </c>
      <c r="AA64" s="343"/>
    </row>
    <row r="65" spans="1:27">
      <c r="A65" s="60">
        <v>63</v>
      </c>
      <c r="B65" s="56" t="s">
        <v>283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61" t="s">
        <v>110</v>
      </c>
      <c r="AA65" s="343"/>
    </row>
    <row r="66" spans="1:27">
      <c r="A66" s="60">
        <v>64</v>
      </c>
      <c r="B66" s="56" t="s">
        <v>284</v>
      </c>
      <c r="C66" s="525" t="s">
        <v>285</v>
      </c>
      <c r="D66" s="56" t="s">
        <v>155</v>
      </c>
      <c r="E66" s="56" t="s">
        <v>62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61" t="s">
        <v>110</v>
      </c>
      <c r="AA66" s="343"/>
    </row>
    <row r="67" spans="1:27">
      <c r="A67" s="60">
        <v>65</v>
      </c>
      <c r="B67" s="56" t="s">
        <v>286</v>
      </c>
      <c r="C67" s="469" t="s">
        <v>287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61" t="s">
        <v>110</v>
      </c>
      <c r="AA67" s="343"/>
    </row>
    <row r="68" spans="1:27">
      <c r="A68" s="60">
        <v>66</v>
      </c>
      <c r="B68" s="56" t="s">
        <v>288</v>
      </c>
      <c r="C68" s="433" t="s">
        <v>289</v>
      </c>
      <c r="D68" s="56" t="s">
        <v>61</v>
      </c>
      <c r="E68" s="56" t="s">
        <v>82</v>
      </c>
      <c r="F68" s="56" t="s">
        <v>83</v>
      </c>
      <c r="G68" s="56" t="s">
        <v>95</v>
      </c>
      <c r="H68" s="56"/>
      <c r="I68" s="56"/>
      <c r="J68" s="56" t="s">
        <v>65</v>
      </c>
      <c r="K68" s="56" t="s">
        <v>66</v>
      </c>
      <c r="L68" s="56" t="s">
        <v>152</v>
      </c>
      <c r="M68" s="56" t="s">
        <v>68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61" t="s">
        <v>73</v>
      </c>
      <c r="AA68" s="343"/>
    </row>
    <row r="69" spans="1:27">
      <c r="A69" s="60">
        <v>67</v>
      </c>
      <c r="B69" s="56" t="s">
        <v>290</v>
      </c>
      <c r="C69" s="46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61" t="s">
        <v>110</v>
      </c>
      <c r="AA69" s="343"/>
    </row>
    <row r="70" spans="1:27">
      <c r="A70" s="60">
        <v>68</v>
      </c>
      <c r="B70" s="56" t="s">
        <v>291</v>
      </c>
      <c r="C70" s="46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61" t="s">
        <v>110</v>
      </c>
      <c r="AA70" s="343"/>
    </row>
    <row r="71" spans="1:27">
      <c r="A71" s="60">
        <v>69</v>
      </c>
      <c r="B71" s="56" t="s">
        <v>292</v>
      </c>
      <c r="C71" s="466" t="s">
        <v>293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61" t="s">
        <v>110</v>
      </c>
      <c r="AA71" s="343"/>
    </row>
    <row r="72" spans="1:27">
      <c r="A72" s="60">
        <v>70</v>
      </c>
      <c r="B72" s="56" t="s">
        <v>294</v>
      </c>
      <c r="C72" s="46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61" t="s">
        <v>110</v>
      </c>
      <c r="AA72" s="343"/>
    </row>
    <row r="73" spans="1:27">
      <c r="A73" s="60">
        <v>71</v>
      </c>
      <c r="B73" s="56" t="s">
        <v>295</v>
      </c>
      <c r="C73" s="466" t="s">
        <v>223</v>
      </c>
      <c r="D73" s="56" t="s">
        <v>61</v>
      </c>
      <c r="E73" s="56" t="s">
        <v>62</v>
      </c>
      <c r="F73" s="56" t="s">
        <v>83</v>
      </c>
      <c r="G73" s="56"/>
      <c r="H73" s="56"/>
      <c r="I73" s="56"/>
      <c r="J73" s="56" t="s">
        <v>65</v>
      </c>
      <c r="K73" s="56" t="s">
        <v>66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61" t="s">
        <v>73</v>
      </c>
      <c r="AA73" s="343" t="s">
        <v>296</v>
      </c>
    </row>
    <row r="74" spans="1:27">
      <c r="A74" s="60">
        <v>72</v>
      </c>
      <c r="B74" s="56" t="s">
        <v>297</v>
      </c>
      <c r="C74" s="466" t="s">
        <v>298</v>
      </c>
      <c r="D74" s="56" t="s">
        <v>61</v>
      </c>
      <c r="E74" s="56" t="s">
        <v>62</v>
      </c>
      <c r="F74" s="56" t="s">
        <v>83</v>
      </c>
      <c r="G74" s="56"/>
      <c r="H74" s="56"/>
      <c r="I74" s="56"/>
      <c r="J74" s="56" t="s">
        <v>65</v>
      </c>
      <c r="K74" s="56" t="s">
        <v>66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61" t="s">
        <v>73</v>
      </c>
      <c r="AA74" s="343" t="s">
        <v>296</v>
      </c>
    </row>
    <row r="75" spans="1:27">
      <c r="A75" s="60">
        <v>73</v>
      </c>
      <c r="B75" s="56" t="s">
        <v>299</v>
      </c>
      <c r="C75" s="466" t="s">
        <v>300</v>
      </c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61" t="s">
        <v>110</v>
      </c>
      <c r="AA75" s="343"/>
    </row>
    <row r="76" spans="1:27">
      <c r="A76" s="60">
        <v>74</v>
      </c>
      <c r="B76" s="56" t="s">
        <v>301</v>
      </c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61" t="s">
        <v>110</v>
      </c>
      <c r="AA76" s="343"/>
    </row>
    <row r="77" spans="1:27">
      <c r="A77" s="60">
        <v>75</v>
      </c>
      <c r="B77" s="56" t="s">
        <v>302</v>
      </c>
      <c r="C77" s="466" t="s">
        <v>303</v>
      </c>
      <c r="D77" s="56" t="s">
        <v>81</v>
      </c>
      <c r="E77" s="56" t="s">
        <v>82</v>
      </c>
      <c r="F77" s="56" t="s">
        <v>83</v>
      </c>
      <c r="G77" s="56"/>
      <c r="H77" s="56"/>
      <c r="I77" s="56"/>
      <c r="J77" s="56" t="s">
        <v>87</v>
      </c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61" t="s">
        <v>73</v>
      </c>
      <c r="AA77" s="343" t="s">
        <v>304</v>
      </c>
    </row>
    <row r="78" spans="1:27">
      <c r="A78" s="60">
        <v>76</v>
      </c>
      <c r="B78" s="56" t="s">
        <v>305</v>
      </c>
      <c r="C78" s="46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61" t="s">
        <v>110</v>
      </c>
      <c r="AA78" s="343" t="s">
        <v>306</v>
      </c>
    </row>
    <row r="79" spans="1:27">
      <c r="A79" s="60">
        <v>77</v>
      </c>
      <c r="B79" s="56" t="s">
        <v>307</v>
      </c>
      <c r="C79" s="466" t="s">
        <v>308</v>
      </c>
      <c r="D79" s="56" t="s">
        <v>61</v>
      </c>
      <c r="E79" s="56" t="s">
        <v>82</v>
      </c>
      <c r="F79" s="56" t="s">
        <v>151</v>
      </c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61" t="s">
        <v>110</v>
      </c>
      <c r="AA79" s="343"/>
    </row>
    <row r="80" spans="1:27">
      <c r="A80" s="60">
        <v>78</v>
      </c>
      <c r="B80" s="56" t="s">
        <v>309</v>
      </c>
      <c r="C80" s="466" t="s">
        <v>310</v>
      </c>
      <c r="D80" s="56" t="s">
        <v>92</v>
      </c>
      <c r="E80" s="56" t="s">
        <v>62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61" t="s">
        <v>110</v>
      </c>
      <c r="AA80" s="343"/>
    </row>
    <row r="81" spans="1:27">
      <c r="A81" s="60">
        <v>79</v>
      </c>
      <c r="B81" s="56" t="s">
        <v>311</v>
      </c>
      <c r="C81" s="470" t="s">
        <v>312</v>
      </c>
      <c r="D81" s="229" t="s">
        <v>61</v>
      </c>
      <c r="E81" s="229" t="s">
        <v>82</v>
      </c>
      <c r="F81" s="229" t="s">
        <v>83</v>
      </c>
      <c r="G81" s="229"/>
      <c r="H81" s="229"/>
      <c r="I81" s="229"/>
      <c r="J81" s="229"/>
      <c r="K81" s="229"/>
      <c r="L81" s="229" t="s">
        <v>246</v>
      </c>
      <c r="M81" s="229" t="s">
        <v>68</v>
      </c>
      <c r="N81" s="229" t="s">
        <v>69</v>
      </c>
      <c r="O81" s="229" t="s">
        <v>90</v>
      </c>
      <c r="P81" s="229" t="s">
        <v>90</v>
      </c>
      <c r="Q81" s="229" t="s">
        <v>70</v>
      </c>
      <c r="R81" s="229" t="s">
        <v>69</v>
      </c>
      <c r="S81" s="229" t="s">
        <v>69</v>
      </c>
      <c r="T81" s="229" t="s">
        <v>69</v>
      </c>
      <c r="U81" s="229" t="s">
        <v>69</v>
      </c>
      <c r="V81" s="229" t="s">
        <v>313</v>
      </c>
      <c r="W81" s="229" t="s">
        <v>69</v>
      </c>
      <c r="X81" s="229" t="s">
        <v>69</v>
      </c>
      <c r="Y81" s="229" t="s">
        <v>70</v>
      </c>
      <c r="Z81" s="301" t="s">
        <v>73</v>
      </c>
      <c r="AA81" s="343" t="s">
        <v>306</v>
      </c>
    </row>
    <row r="82" spans="1:27">
      <c r="A82" s="60">
        <v>80</v>
      </c>
      <c r="B82" s="56" t="s">
        <v>314</v>
      </c>
      <c r="C82" s="470" t="s">
        <v>315</v>
      </c>
      <c r="D82" s="229" t="s">
        <v>81</v>
      </c>
      <c r="E82" s="229" t="s">
        <v>82</v>
      </c>
      <c r="F82" s="229" t="s">
        <v>83</v>
      </c>
      <c r="G82" s="229"/>
      <c r="H82" s="229"/>
      <c r="I82" s="229"/>
      <c r="J82" s="229"/>
      <c r="K82" s="229"/>
      <c r="L82" s="229" t="s">
        <v>246</v>
      </c>
      <c r="M82" s="229" t="s">
        <v>68</v>
      </c>
      <c r="N82" s="229" t="s">
        <v>69</v>
      </c>
      <c r="O82" s="229" t="s">
        <v>69</v>
      </c>
      <c r="P82" s="229" t="s">
        <v>69</v>
      </c>
      <c r="Q82" s="229" t="s">
        <v>195</v>
      </c>
      <c r="R82" s="229" t="s">
        <v>69</v>
      </c>
      <c r="S82" s="229" t="s">
        <v>69</v>
      </c>
      <c r="T82" s="229" t="s">
        <v>69</v>
      </c>
      <c r="U82" s="229" t="s">
        <v>69</v>
      </c>
      <c r="V82" s="229" t="s">
        <v>195</v>
      </c>
      <c r="W82" s="229" t="s">
        <v>69</v>
      </c>
      <c r="X82" s="229" t="s">
        <v>69</v>
      </c>
      <c r="Y82" s="229" t="s">
        <v>316</v>
      </c>
      <c r="Z82" s="61" t="s">
        <v>73</v>
      </c>
      <c r="AA82" s="343" t="s">
        <v>306</v>
      </c>
    </row>
    <row r="83" spans="1:27">
      <c r="A83" s="302">
        <v>81</v>
      </c>
      <c r="B83" s="303" t="s">
        <v>13</v>
      </c>
      <c r="C83" s="471" t="s">
        <v>317</v>
      </c>
      <c r="D83" s="303" t="s">
        <v>92</v>
      </c>
      <c r="E83" s="303" t="s">
        <v>62</v>
      </c>
      <c r="F83" s="303"/>
      <c r="G83" s="303"/>
      <c r="H83" s="303"/>
      <c r="I83" s="303"/>
      <c r="J83" s="56"/>
      <c r="K83" s="56"/>
      <c r="L83" s="56"/>
      <c r="M83" s="56"/>
      <c r="N83" s="402"/>
      <c r="O83" s="402"/>
      <c r="P83" s="402"/>
      <c r="Q83" s="402"/>
      <c r="R83" s="402"/>
      <c r="S83" s="402"/>
      <c r="T83" s="402"/>
      <c r="U83" s="402"/>
      <c r="V83" s="402"/>
      <c r="W83" s="402"/>
      <c r="X83" s="402"/>
      <c r="Y83" s="402"/>
      <c r="Z83" s="301" t="s">
        <v>110</v>
      </c>
      <c r="AA83" s="59"/>
    </row>
    <row r="88" spans="1:27">
      <c r="D88" s="554" t="s">
        <v>122</v>
      </c>
      <c r="E88" s="50" t="s">
        <v>123</v>
      </c>
      <c r="F88" s="51" t="s">
        <v>124</v>
      </c>
      <c r="G88" s="52" t="s">
        <v>125</v>
      </c>
      <c r="H88" s="53" t="s">
        <v>126</v>
      </c>
      <c r="J88" s="554" t="s">
        <v>122</v>
      </c>
      <c r="K88" s="556" t="s">
        <v>127</v>
      </c>
      <c r="L88" s="556"/>
      <c r="M88" s="556" t="s">
        <v>128</v>
      </c>
      <c r="N88" s="557"/>
      <c r="O88" s="557"/>
      <c r="P88" s="557"/>
      <c r="Q88" s="557"/>
      <c r="R88" s="557"/>
      <c r="S88" s="557"/>
      <c r="T88" s="557"/>
      <c r="U88" s="557"/>
      <c r="V88" s="557"/>
      <c r="W88" s="557"/>
      <c r="X88" s="557"/>
      <c r="Y88" s="557"/>
      <c r="Z88" s="558"/>
    </row>
    <row r="89" spans="1:27">
      <c r="D89" s="555"/>
      <c r="E89" s="54">
        <f>COUNTIF($Z$3:$Z$83,DATOS!O2)</f>
        <v>49</v>
      </c>
      <c r="F89" s="54">
        <f>COUNTIF($Z$3:$Z$83,DATOS!O3)</f>
        <v>32</v>
      </c>
      <c r="G89" s="54">
        <f>COUNTIF($Z$3:$Z$83,DATOS!O4)</f>
        <v>0</v>
      </c>
      <c r="H89" s="55">
        <f>SUM(E89:G89)</f>
        <v>81</v>
      </c>
      <c r="J89" s="555"/>
      <c r="K89" s="559">
        <f>COUNTIF(M3:$M$83,DATOS!Q2)</f>
        <v>18</v>
      </c>
      <c r="L89" s="559"/>
      <c r="M89" s="559">
        <f>COUNTIF($M3:$M$83,DATOS!Q3)</f>
        <v>4</v>
      </c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1"/>
    </row>
    <row r="91" spans="1:27" ht="35.25" customHeight="1">
      <c r="D91" s="549" t="s">
        <v>129</v>
      </c>
      <c r="E91" s="56" t="str">
        <f>DATOS!G2</f>
        <v>INALÁMBRICO</v>
      </c>
      <c r="F91" s="56" t="str">
        <f>DATOS!G3</f>
        <v>ALÁMBRICO</v>
      </c>
      <c r="G91" s="57" t="str">
        <f>DATOS!G4</f>
        <v>ALÁMBRICO/INALÁMBRICO</v>
      </c>
      <c r="J91" s="538" t="s">
        <v>130</v>
      </c>
      <c r="K91" s="539"/>
      <c r="L91" s="539"/>
      <c r="M91" s="539"/>
      <c r="N91" s="539"/>
      <c r="O91" s="539"/>
      <c r="P91" s="539"/>
      <c r="Q91" s="539"/>
      <c r="R91" s="539"/>
      <c r="S91" s="539"/>
      <c r="T91" s="539"/>
      <c r="U91" s="539"/>
      <c r="V91" s="539"/>
      <c r="W91" s="539"/>
      <c r="X91" s="539"/>
      <c r="Y91" s="539"/>
      <c r="Z91" s="540"/>
    </row>
    <row r="92" spans="1:27">
      <c r="D92" s="550"/>
      <c r="E92" s="58">
        <f>COUNTIF(J3:$J$83,DATOS!G2)</f>
        <v>23</v>
      </c>
      <c r="F92" s="58">
        <f>COUNTIF($J3:K$83,DATOS!G3)</f>
        <v>4</v>
      </c>
      <c r="G92" s="58">
        <f>COUNTIF($J3:L$83,DATOS!G4)</f>
        <v>0</v>
      </c>
    </row>
  </sheetData>
  <mergeCells count="9">
    <mergeCell ref="D91:D92"/>
    <mergeCell ref="J91:Z91"/>
    <mergeCell ref="A1:AA1"/>
    <mergeCell ref="D88:D89"/>
    <mergeCell ref="J88:J89"/>
    <mergeCell ref="K88:L88"/>
    <mergeCell ref="M88:Z88"/>
    <mergeCell ref="K89:L89"/>
    <mergeCell ref="M89:Z89"/>
  </mergeCells>
  <dataValidations count="1">
    <dataValidation allowBlank="1" showInputMessage="1" showErrorMessage="1" sqref="V79:V83 Q79:Q83 Q3:Q77 V3:V77 Y3:Y77 Y79:Y83" xr:uid="{BFAC67C3-371F-4BFD-814B-AFB079BABD08}"/>
  </dataValidations>
  <hyperlinks>
    <hyperlink ref="J91" location="RANGO!A1" display="REGRESAR A LA PESTALLA PRINCIPAL" xr:uid="{9FED976E-08B0-4D52-B541-1BC173780BB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7F283D7-F027-42AC-955D-7168729257D9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1ED5D287-3716-41D0-8B59-AA243B627601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7C28537D-1709-4287-A67B-125DC1DCB2A2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Z3:Z83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A044DBF-ED95-4756-AE58-DD1BEC6B818D}">
          <x14:formula1>
            <xm:f>DATOS!$Q$2:$Q$3</xm:f>
          </x14:formula1>
          <xm:sqref>M3:M35 M37:M83</xm:sqref>
        </x14:dataValidation>
        <x14:dataValidation type="list" allowBlank="1" showInputMessage="1" showErrorMessage="1" xr:uid="{5EBDB5AA-35FB-43AA-A6CB-D56DC8F83515}">
          <x14:formula1>
            <xm:f>DATOS!$E$2:$E$7</xm:f>
          </x14:formula1>
          <xm:sqref>D3:D83</xm:sqref>
        </x14:dataValidation>
        <x14:dataValidation type="list" allowBlank="1" showInputMessage="1" showErrorMessage="1" xr:uid="{54486E53-692D-42A7-8A13-81342659E20F}">
          <x14:formula1>
            <xm:f>DATOS!$C$2:$C$13</xm:f>
          </x14:formula1>
          <xm:sqref>L3:L35 L37:L83</xm:sqref>
        </x14:dataValidation>
        <x14:dataValidation type="list" allowBlank="1" showInputMessage="1" showErrorMessage="1" xr:uid="{B71895FA-4C1E-40A4-BE1D-F536A7C04116}">
          <x14:formula1>
            <xm:f>DATOS!$I$2:$I$3</xm:f>
          </x14:formula1>
          <xm:sqref>K3:K35 K37:K83</xm:sqref>
        </x14:dataValidation>
        <x14:dataValidation type="list" allowBlank="1" showInputMessage="1" showErrorMessage="1" xr:uid="{269EAACE-0403-4581-920A-5FED4E9DDB25}">
          <x14:formula1>
            <xm:f>DATOS!$G$2:$G$4</xm:f>
          </x14:formula1>
          <xm:sqref>J3:J83</xm:sqref>
        </x14:dataValidation>
        <x14:dataValidation type="list" allowBlank="1" showInputMessage="1" showErrorMessage="1" xr:uid="{134BB818-7751-4030-95D0-F764565A0B86}">
          <x14:formula1>
            <xm:f>DATOS!$K$2:$K$13</xm:f>
          </x14:formula1>
          <xm:sqref>F3:F83</xm:sqref>
        </x14:dataValidation>
        <x14:dataValidation type="list" allowBlank="1" showInputMessage="1" showErrorMessage="1" xr:uid="{9281E862-94DC-4268-A15A-FB72778781D9}">
          <x14:formula1>
            <xm:f>DATOS!$M$2:$M$3</xm:f>
          </x14:formula1>
          <xm:sqref>E3:E83</xm:sqref>
        </x14:dataValidation>
        <x14:dataValidation type="list" allowBlank="1" showInputMessage="1" showErrorMessage="1" xr:uid="{927E11AF-51C6-4DA3-8625-83903BB9E96E}">
          <x14:formula1>
            <xm:f>DATOS!$O$2:$O$4</xm:f>
          </x14:formula1>
          <xm:sqref>Z3:Z83</xm:sqref>
        </x14:dataValidation>
        <x14:dataValidation type="list" allowBlank="1" showInputMessage="1" showErrorMessage="1" xr:uid="{9D482771-0FF2-4556-B1A1-5A519B302A87}">
          <x14:formula1>
            <xm:f>DATOS!$R$2:$R$3</xm:f>
          </x14:formula1>
          <xm:sqref>R79:U83 O79:P83 N3:N83 O3:P77 R3:U77 W3:X77 W79:X83 O78:Y78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F35D-64D1-4CBA-B853-EA37FF5DFB88}">
  <sheetPr>
    <tabColor theme="9" tint="-0.499984740745262"/>
  </sheetPr>
  <dimension ref="A1:AA67"/>
  <sheetViews>
    <sheetView zoomScale="115" workbookViewId="0">
      <pane ySplit="2" topLeftCell="A9" activePane="bottomLeft" state="frozen"/>
      <selection pane="bottomLeft" sqref="A1:AA1"/>
      <selection activeCell="F1" sqref="F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19.710937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564" t="str">
        <f>RANGO!E6</f>
        <v>DIRECCIÓN DE INESTIGACIÓN Y ESTUDIOS SOBRE JUVENTUDES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6"/>
    </row>
    <row r="2" spans="1:27" ht="27.75">
      <c r="A2" s="67" t="s">
        <v>33</v>
      </c>
      <c r="B2" s="65" t="s">
        <v>34</v>
      </c>
      <c r="C2" s="66" t="s">
        <v>35</v>
      </c>
      <c r="D2" s="66" t="s">
        <v>36</v>
      </c>
      <c r="E2" s="66" t="s">
        <v>37</v>
      </c>
      <c r="F2" s="65" t="s">
        <v>38</v>
      </c>
      <c r="G2" s="65" t="s">
        <v>39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  <c r="O2" s="66" t="s">
        <v>47</v>
      </c>
      <c r="P2" s="66" t="s">
        <v>48</v>
      </c>
      <c r="Q2" s="66" t="s">
        <v>49</v>
      </c>
      <c r="R2" s="66" t="s">
        <v>50</v>
      </c>
      <c r="S2" s="66" t="s">
        <v>51</v>
      </c>
      <c r="T2" s="66" t="s">
        <v>52</v>
      </c>
      <c r="U2" s="66" t="s">
        <v>53</v>
      </c>
      <c r="V2" s="66" t="s">
        <v>54</v>
      </c>
      <c r="W2" s="66" t="s">
        <v>55</v>
      </c>
      <c r="X2" s="66" t="s">
        <v>56</v>
      </c>
      <c r="Y2" s="66" t="s">
        <v>57</v>
      </c>
      <c r="Z2" s="65" t="s">
        <v>58</v>
      </c>
      <c r="AA2" s="68" t="s">
        <v>59</v>
      </c>
    </row>
    <row r="3" spans="1:27">
      <c r="A3" s="69">
        <v>1</v>
      </c>
      <c r="B3" s="82" t="s">
        <v>14</v>
      </c>
      <c r="C3" s="527" t="s">
        <v>318</v>
      </c>
      <c r="D3" s="15" t="s">
        <v>61</v>
      </c>
      <c r="E3" s="15" t="s">
        <v>82</v>
      </c>
      <c r="F3" s="15" t="s">
        <v>83</v>
      </c>
      <c r="G3" s="15" t="s">
        <v>319</v>
      </c>
      <c r="H3" s="15"/>
      <c r="I3" s="15"/>
      <c r="J3" s="15"/>
      <c r="K3" s="15"/>
      <c r="L3" s="15"/>
      <c r="M3" s="15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1" t="s">
        <v>73</v>
      </c>
      <c r="AA3" s="84"/>
    </row>
    <row r="4" spans="1:27">
      <c r="A4" s="69">
        <v>2</v>
      </c>
      <c r="B4" s="82" t="s">
        <v>320</v>
      </c>
      <c r="C4" s="459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1" t="s">
        <v>110</v>
      </c>
      <c r="AA4" s="84"/>
    </row>
    <row r="5" spans="1:27">
      <c r="A5" s="69">
        <v>3</v>
      </c>
      <c r="B5" s="82" t="s">
        <v>321</v>
      </c>
      <c r="C5" s="46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1" t="s">
        <v>110</v>
      </c>
      <c r="AA5" s="84"/>
    </row>
    <row r="6" spans="1:27">
      <c r="A6" s="69">
        <v>4</v>
      </c>
      <c r="B6" s="82" t="s">
        <v>322</v>
      </c>
      <c r="C6" s="459" t="s">
        <v>323</v>
      </c>
      <c r="D6" s="70" t="s">
        <v>61</v>
      </c>
      <c r="E6" s="70" t="s">
        <v>62</v>
      </c>
      <c r="F6" s="70"/>
      <c r="G6" s="70"/>
      <c r="H6" s="70"/>
      <c r="I6" s="70"/>
      <c r="J6" s="70"/>
      <c r="K6" s="70"/>
      <c r="L6" s="70" t="s">
        <v>194</v>
      </c>
      <c r="M6" s="70" t="s">
        <v>68</v>
      </c>
      <c r="N6" s="70" t="s">
        <v>69</v>
      </c>
      <c r="O6" s="70" t="s">
        <v>90</v>
      </c>
      <c r="P6" s="70" t="s">
        <v>90</v>
      </c>
      <c r="Q6" s="70" t="s">
        <v>195</v>
      </c>
      <c r="R6" s="70" t="s">
        <v>69</v>
      </c>
      <c r="S6" s="70" t="s">
        <v>69</v>
      </c>
      <c r="T6" s="70" t="s">
        <v>69</v>
      </c>
      <c r="U6" s="70" t="s">
        <v>69</v>
      </c>
      <c r="V6" s="70" t="s">
        <v>195</v>
      </c>
      <c r="W6" s="70" t="s">
        <v>69</v>
      </c>
      <c r="X6" s="70" t="s">
        <v>69</v>
      </c>
      <c r="Y6" s="70" t="s">
        <v>195</v>
      </c>
      <c r="Z6" s="71" t="s">
        <v>73</v>
      </c>
      <c r="AA6" s="84"/>
    </row>
    <row r="7" spans="1:27">
      <c r="A7" s="69">
        <v>5</v>
      </c>
      <c r="B7" s="82" t="s">
        <v>324</v>
      </c>
      <c r="C7" s="459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1" t="s">
        <v>110</v>
      </c>
      <c r="AA7" s="84"/>
    </row>
    <row r="8" spans="1:27">
      <c r="A8" s="69">
        <v>6</v>
      </c>
      <c r="B8" s="82" t="s">
        <v>325</v>
      </c>
      <c r="C8" s="459" t="s">
        <v>326</v>
      </c>
      <c r="D8" s="70" t="s">
        <v>81</v>
      </c>
      <c r="E8" s="70" t="s">
        <v>82</v>
      </c>
      <c r="F8" s="70" t="s">
        <v>83</v>
      </c>
      <c r="G8" s="70" t="s">
        <v>327</v>
      </c>
      <c r="H8" s="70"/>
      <c r="I8" s="70"/>
      <c r="J8" s="70"/>
      <c r="K8" s="70" t="s">
        <v>66</v>
      </c>
      <c r="L8" s="70" t="s">
        <v>121</v>
      </c>
      <c r="M8" s="70"/>
      <c r="N8" s="70" t="s">
        <v>69</v>
      </c>
      <c r="O8" s="70" t="s">
        <v>90</v>
      </c>
      <c r="P8" s="70" t="s">
        <v>69</v>
      </c>
      <c r="Q8" s="70" t="s">
        <v>90</v>
      </c>
      <c r="R8" s="70" t="s">
        <v>90</v>
      </c>
      <c r="S8" s="70" t="s">
        <v>90</v>
      </c>
      <c r="T8" s="70" t="s">
        <v>90</v>
      </c>
      <c r="U8" s="70" t="s">
        <v>69</v>
      </c>
      <c r="V8" s="70" t="s">
        <v>90</v>
      </c>
      <c r="W8" s="70" t="s">
        <v>69</v>
      </c>
      <c r="X8" s="70" t="s">
        <v>69</v>
      </c>
      <c r="Y8" s="70" t="s">
        <v>328</v>
      </c>
      <c r="Z8" s="71" t="s">
        <v>73</v>
      </c>
      <c r="AA8" s="84" t="s">
        <v>329</v>
      </c>
    </row>
    <row r="9" spans="1:27">
      <c r="A9" s="69">
        <v>7</v>
      </c>
      <c r="B9" s="82" t="s">
        <v>330</v>
      </c>
      <c r="C9" s="459" t="s">
        <v>331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1" t="s">
        <v>110</v>
      </c>
      <c r="AA9" s="84"/>
    </row>
    <row r="10" spans="1:27">
      <c r="A10" s="69">
        <v>8</v>
      </c>
      <c r="B10" s="82" t="s">
        <v>332</v>
      </c>
      <c r="C10" s="459" t="s">
        <v>333</v>
      </c>
      <c r="D10" s="70" t="s">
        <v>81</v>
      </c>
      <c r="E10" s="70" t="s">
        <v>82</v>
      </c>
      <c r="F10" s="70" t="s">
        <v>83</v>
      </c>
      <c r="G10" s="70" t="s">
        <v>327</v>
      </c>
      <c r="H10" s="70"/>
      <c r="I10" s="70"/>
      <c r="J10" s="70"/>
      <c r="K10" s="70"/>
      <c r="L10" s="70" t="s">
        <v>194</v>
      </c>
      <c r="M10" s="70" t="s">
        <v>68</v>
      </c>
      <c r="N10" s="70" t="s">
        <v>90</v>
      </c>
      <c r="O10" s="70" t="s">
        <v>90</v>
      </c>
      <c r="P10" s="70" t="s">
        <v>90</v>
      </c>
      <c r="Q10" s="70" t="s">
        <v>195</v>
      </c>
      <c r="R10" s="70" t="s">
        <v>90</v>
      </c>
      <c r="S10" s="70" t="s">
        <v>195</v>
      </c>
      <c r="T10" s="70" t="s">
        <v>90</v>
      </c>
      <c r="U10" s="70" t="s">
        <v>69</v>
      </c>
      <c r="V10" s="70" t="s">
        <v>195</v>
      </c>
      <c r="W10" s="70" t="s">
        <v>69</v>
      </c>
      <c r="X10" s="70" t="s">
        <v>90</v>
      </c>
      <c r="Y10" s="70" t="s">
        <v>195</v>
      </c>
      <c r="Z10" s="71" t="s">
        <v>73</v>
      </c>
      <c r="AA10" s="84"/>
    </row>
    <row r="11" spans="1:27">
      <c r="A11" s="69">
        <v>9</v>
      </c>
      <c r="B11" s="82" t="s">
        <v>334</v>
      </c>
      <c r="C11" s="459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1" t="s">
        <v>110</v>
      </c>
      <c r="AA11" s="84"/>
    </row>
    <row r="12" spans="1:27">
      <c r="A12" s="69">
        <v>10</v>
      </c>
      <c r="B12" s="82" t="s">
        <v>335</v>
      </c>
      <c r="C12" s="459" t="s">
        <v>336</v>
      </c>
      <c r="D12" s="70" t="s">
        <v>61</v>
      </c>
      <c r="E12" s="70" t="s">
        <v>62</v>
      </c>
      <c r="F12" s="70"/>
      <c r="G12" s="70"/>
      <c r="H12" s="70"/>
      <c r="I12" s="70"/>
      <c r="J12" s="70"/>
      <c r="K12" s="70"/>
      <c r="L12" s="70" t="s">
        <v>194</v>
      </c>
      <c r="M12" s="70" t="s">
        <v>68</v>
      </c>
      <c r="N12" s="70" t="s">
        <v>69</v>
      </c>
      <c r="O12" s="70" t="s">
        <v>90</v>
      </c>
      <c r="P12" s="70" t="s">
        <v>90</v>
      </c>
      <c r="Q12" s="70" t="s">
        <v>195</v>
      </c>
      <c r="R12" s="70" t="s">
        <v>69</v>
      </c>
      <c r="S12" s="70" t="s">
        <v>90</v>
      </c>
      <c r="T12" s="70" t="s">
        <v>69</v>
      </c>
      <c r="U12" s="70" t="s">
        <v>69</v>
      </c>
      <c r="V12" s="70" t="s">
        <v>195</v>
      </c>
      <c r="W12" s="70" t="s">
        <v>69</v>
      </c>
      <c r="X12" s="70" t="s">
        <v>69</v>
      </c>
      <c r="Y12" s="70" t="s">
        <v>195</v>
      </c>
      <c r="Z12" s="71" t="s">
        <v>73</v>
      </c>
      <c r="AA12" s="84"/>
    </row>
    <row r="13" spans="1:27">
      <c r="A13" s="69">
        <v>11</v>
      </c>
      <c r="B13" s="82" t="s">
        <v>337</v>
      </c>
      <c r="C13" s="459" t="s">
        <v>338</v>
      </c>
      <c r="D13" s="70" t="s">
        <v>61</v>
      </c>
      <c r="E13" s="70" t="s">
        <v>62</v>
      </c>
      <c r="F13" s="70" t="s">
        <v>151</v>
      </c>
      <c r="G13" s="70" t="s">
        <v>339</v>
      </c>
      <c r="H13" s="70" t="s">
        <v>340</v>
      </c>
      <c r="I13" s="70"/>
      <c r="J13" s="70" t="s">
        <v>65</v>
      </c>
      <c r="K13" s="70" t="s">
        <v>66</v>
      </c>
      <c r="L13" s="70" t="s">
        <v>194</v>
      </c>
      <c r="M13" s="70" t="s">
        <v>78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1" t="s">
        <v>73</v>
      </c>
      <c r="AA13" s="84" t="s">
        <v>338</v>
      </c>
    </row>
    <row r="14" spans="1:27">
      <c r="A14" s="69">
        <v>12</v>
      </c>
      <c r="B14" s="82" t="s">
        <v>341</v>
      </c>
      <c r="C14" s="457" t="s">
        <v>342</v>
      </c>
      <c r="D14" s="70" t="s">
        <v>61</v>
      </c>
      <c r="E14" s="1" t="s">
        <v>62</v>
      </c>
      <c r="F14" s="70" t="s">
        <v>83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1" t="s">
        <v>110</v>
      </c>
      <c r="AA14" s="84"/>
    </row>
    <row r="15" spans="1:27">
      <c r="A15" s="69">
        <v>13</v>
      </c>
      <c r="B15" s="82" t="s">
        <v>343</v>
      </c>
      <c r="C15" s="459" t="s">
        <v>344</v>
      </c>
      <c r="D15" s="70" t="s">
        <v>61</v>
      </c>
      <c r="E15" s="70" t="s">
        <v>82</v>
      </c>
      <c r="F15" s="70" t="s">
        <v>83</v>
      </c>
      <c r="G15" s="70" t="s">
        <v>319</v>
      </c>
      <c r="H15" s="70"/>
      <c r="I15" s="70"/>
      <c r="J15" s="70"/>
      <c r="K15" s="70"/>
      <c r="L15" s="70" t="s">
        <v>194</v>
      </c>
      <c r="M15" s="70" t="s">
        <v>68</v>
      </c>
      <c r="N15" s="70" t="s">
        <v>90</v>
      </c>
      <c r="O15" s="70" t="s">
        <v>195</v>
      </c>
      <c r="P15" s="70" t="s">
        <v>90</v>
      </c>
      <c r="Q15" s="70" t="s">
        <v>195</v>
      </c>
      <c r="R15" s="70" t="s">
        <v>90</v>
      </c>
      <c r="S15" s="70" t="s">
        <v>90</v>
      </c>
      <c r="T15" s="70" t="s">
        <v>90</v>
      </c>
      <c r="U15" s="70" t="s">
        <v>69</v>
      </c>
      <c r="V15" s="70" t="s">
        <v>195</v>
      </c>
      <c r="W15" s="70" t="s">
        <v>69</v>
      </c>
      <c r="X15" s="70" t="s">
        <v>69</v>
      </c>
      <c r="Y15" s="70" t="s">
        <v>195</v>
      </c>
      <c r="Z15" s="71" t="s">
        <v>73</v>
      </c>
      <c r="AA15" s="84"/>
    </row>
    <row r="16" spans="1:27">
      <c r="A16" s="69">
        <v>14</v>
      </c>
      <c r="B16" s="82" t="s">
        <v>345</v>
      </c>
      <c r="C16" s="459" t="s">
        <v>346</v>
      </c>
      <c r="D16" s="70" t="s">
        <v>61</v>
      </c>
      <c r="E16" s="70" t="s">
        <v>62</v>
      </c>
      <c r="F16" s="70"/>
      <c r="G16" s="70"/>
      <c r="H16" s="70"/>
      <c r="I16" s="70"/>
      <c r="J16" s="70"/>
      <c r="K16" s="70"/>
      <c r="L16" s="70" t="s">
        <v>194</v>
      </c>
      <c r="M16" s="70" t="s">
        <v>68</v>
      </c>
      <c r="N16" s="70" t="s">
        <v>69</v>
      </c>
      <c r="O16" s="70" t="s">
        <v>90</v>
      </c>
      <c r="P16" s="70" t="s">
        <v>90</v>
      </c>
      <c r="Q16" s="70" t="s">
        <v>70</v>
      </c>
      <c r="R16" s="70" t="s">
        <v>90</v>
      </c>
      <c r="S16" s="70" t="s">
        <v>90</v>
      </c>
      <c r="T16" s="70" t="s">
        <v>90</v>
      </c>
      <c r="U16" s="70" t="s">
        <v>69</v>
      </c>
      <c r="V16" s="70" t="s">
        <v>70</v>
      </c>
      <c r="W16" s="70" t="s">
        <v>69</v>
      </c>
      <c r="X16" s="70" t="s">
        <v>69</v>
      </c>
      <c r="Y16" s="70" t="s">
        <v>70</v>
      </c>
      <c r="Z16" s="71" t="s">
        <v>73</v>
      </c>
      <c r="AA16" s="84"/>
    </row>
    <row r="17" spans="1:27">
      <c r="A17" s="69">
        <v>15</v>
      </c>
      <c r="B17" s="82" t="s">
        <v>347</v>
      </c>
      <c r="C17" s="457" t="s">
        <v>348</v>
      </c>
      <c r="D17" s="70" t="s">
        <v>92</v>
      </c>
      <c r="E17" s="70" t="s">
        <v>62</v>
      </c>
      <c r="F17" s="70" t="s">
        <v>138</v>
      </c>
      <c r="G17" s="70" t="s">
        <v>349</v>
      </c>
      <c r="H17" s="70" t="s">
        <v>350</v>
      </c>
      <c r="I17" s="70"/>
      <c r="J17" s="70" t="s">
        <v>65</v>
      </c>
      <c r="K17" s="70" t="s">
        <v>66</v>
      </c>
      <c r="L17" s="70" t="s">
        <v>194</v>
      </c>
      <c r="M17" s="70" t="s">
        <v>68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1" t="s">
        <v>110</v>
      </c>
      <c r="AA17" s="85"/>
    </row>
    <row r="18" spans="1:27">
      <c r="A18" s="69">
        <v>16</v>
      </c>
      <c r="B18" s="82" t="s">
        <v>351</v>
      </c>
      <c r="C18" s="457"/>
      <c r="D18" s="70" t="s">
        <v>92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 t="s">
        <v>110</v>
      </c>
      <c r="AA18" s="85"/>
    </row>
    <row r="19" spans="1:27">
      <c r="A19" s="69">
        <v>17</v>
      </c>
      <c r="B19" s="82" t="s">
        <v>352</v>
      </c>
      <c r="C19" s="457" t="s">
        <v>353</v>
      </c>
      <c r="D19" s="70" t="s">
        <v>61</v>
      </c>
      <c r="E19" s="70" t="s">
        <v>62</v>
      </c>
      <c r="F19" s="70" t="s">
        <v>138</v>
      </c>
      <c r="G19" s="70" t="s">
        <v>354</v>
      </c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 t="s">
        <v>110</v>
      </c>
      <c r="AA19" s="85"/>
    </row>
    <row r="20" spans="1:27">
      <c r="A20" s="69">
        <v>18</v>
      </c>
      <c r="B20" s="82" t="s">
        <v>355</v>
      </c>
      <c r="C20" s="457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 t="s">
        <v>110</v>
      </c>
      <c r="AA20" s="85"/>
    </row>
    <row r="21" spans="1:27">
      <c r="A21" s="69">
        <v>19</v>
      </c>
      <c r="B21" s="82" t="s">
        <v>356</v>
      </c>
      <c r="C21" s="457" t="s">
        <v>357</v>
      </c>
      <c r="D21" s="70"/>
      <c r="E21" s="70"/>
      <c r="F21" s="70"/>
      <c r="G21" s="72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 t="s">
        <v>110</v>
      </c>
      <c r="AA21" s="85"/>
    </row>
    <row r="22" spans="1:27">
      <c r="A22" s="69">
        <v>20</v>
      </c>
      <c r="B22" s="82" t="s">
        <v>358</v>
      </c>
      <c r="C22" s="27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1" t="s">
        <v>110</v>
      </c>
      <c r="AA22" s="85"/>
    </row>
    <row r="23" spans="1:27">
      <c r="A23" s="69">
        <v>21</v>
      </c>
      <c r="B23" s="82" t="s">
        <v>359</v>
      </c>
      <c r="C23" s="457" t="s">
        <v>360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1" t="s">
        <v>110</v>
      </c>
      <c r="AA23" s="85"/>
    </row>
    <row r="24" spans="1:27">
      <c r="A24" s="69">
        <v>22</v>
      </c>
      <c r="B24" s="82" t="s">
        <v>361</v>
      </c>
      <c r="C24" s="457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1" t="s">
        <v>110</v>
      </c>
      <c r="AA24" s="85"/>
    </row>
    <row r="25" spans="1:27">
      <c r="A25" s="69">
        <v>23</v>
      </c>
      <c r="B25" s="82" t="s">
        <v>362</v>
      </c>
      <c r="C25" s="457" t="s">
        <v>318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1" t="s">
        <v>110</v>
      </c>
      <c r="AA25" s="85"/>
    </row>
    <row r="26" spans="1:27">
      <c r="A26" s="69">
        <v>24</v>
      </c>
      <c r="B26" s="82" t="s">
        <v>363</v>
      </c>
      <c r="C26" s="457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1" t="s">
        <v>110</v>
      </c>
      <c r="AA26" s="85"/>
    </row>
    <row r="27" spans="1:27">
      <c r="A27" s="69">
        <v>25</v>
      </c>
      <c r="B27" s="82" t="s">
        <v>364</v>
      </c>
      <c r="C27" s="461"/>
      <c r="D27" s="310"/>
      <c r="E27" s="310"/>
      <c r="F27" s="31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1" t="s">
        <v>110</v>
      </c>
      <c r="AA27" s="85"/>
    </row>
    <row r="28" spans="1:27">
      <c r="A28" s="69">
        <v>26</v>
      </c>
      <c r="B28" s="308" t="s">
        <v>365</v>
      </c>
      <c r="C28" s="462"/>
      <c r="D28" s="307"/>
      <c r="E28" s="307"/>
      <c r="F28" s="307"/>
      <c r="G28" s="309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1" t="s">
        <v>110</v>
      </c>
      <c r="AA28" s="85"/>
    </row>
    <row r="29" spans="1:27">
      <c r="A29" s="69">
        <v>27</v>
      </c>
      <c r="B29" s="308" t="s">
        <v>366</v>
      </c>
      <c r="C29" s="463" t="s">
        <v>367</v>
      </c>
      <c r="D29" s="282" t="s">
        <v>155</v>
      </c>
      <c r="E29" s="282"/>
      <c r="F29" s="282"/>
      <c r="G29" s="309"/>
      <c r="H29" s="70"/>
      <c r="I29" s="70"/>
      <c r="J29" s="70"/>
      <c r="K29" s="70"/>
      <c r="L29" s="70" t="s">
        <v>67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1" t="s">
        <v>110</v>
      </c>
      <c r="AA29" s="85"/>
    </row>
    <row r="30" spans="1:27">
      <c r="A30" s="69">
        <v>28</v>
      </c>
      <c r="B30" s="308" t="s">
        <v>368</v>
      </c>
      <c r="C30" s="463" t="s">
        <v>369</v>
      </c>
      <c r="D30" s="282" t="s">
        <v>92</v>
      </c>
      <c r="E30" s="282" t="s">
        <v>62</v>
      </c>
      <c r="F30" s="282"/>
      <c r="G30" s="309"/>
      <c r="H30" s="70"/>
      <c r="I30" s="70"/>
      <c r="J30" s="70"/>
      <c r="K30" s="70"/>
      <c r="L30" s="70" t="s">
        <v>67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1" t="s">
        <v>110</v>
      </c>
      <c r="AA30" s="85"/>
    </row>
    <row r="31" spans="1:27">
      <c r="A31" s="69">
        <v>29</v>
      </c>
      <c r="B31" s="82" t="s">
        <v>370</v>
      </c>
      <c r="C31" s="464" t="s">
        <v>353</v>
      </c>
      <c r="D31" s="311" t="s">
        <v>92</v>
      </c>
      <c r="E31" s="311" t="s">
        <v>62</v>
      </c>
      <c r="F31" s="311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1" t="s">
        <v>110</v>
      </c>
      <c r="AA31" s="85"/>
    </row>
    <row r="32" spans="1:27">
      <c r="A32" s="69">
        <v>30</v>
      </c>
      <c r="B32" s="82" t="s">
        <v>371</v>
      </c>
      <c r="C32" s="457" t="s">
        <v>372</v>
      </c>
      <c r="D32" s="70" t="s">
        <v>61</v>
      </c>
      <c r="E32" s="70" t="s">
        <v>62</v>
      </c>
      <c r="F32" s="70" t="s">
        <v>138</v>
      </c>
      <c r="G32" s="70" t="s">
        <v>354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1" t="s">
        <v>110</v>
      </c>
      <c r="AA32" s="85"/>
    </row>
    <row r="33" spans="1:27">
      <c r="A33" s="69">
        <v>31</v>
      </c>
      <c r="B33" s="82" t="s">
        <v>373</v>
      </c>
      <c r="C33" s="457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1" t="s">
        <v>110</v>
      </c>
      <c r="AA33" s="85"/>
    </row>
    <row r="34" spans="1:27">
      <c r="A34" s="69">
        <v>32</v>
      </c>
      <c r="B34" s="82" t="s">
        <v>374</v>
      </c>
      <c r="C34" s="457" t="s">
        <v>375</v>
      </c>
      <c r="D34" s="70" t="s">
        <v>61</v>
      </c>
      <c r="E34" s="70" t="s">
        <v>62</v>
      </c>
      <c r="F34" s="70" t="s">
        <v>151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1" t="s">
        <v>110</v>
      </c>
      <c r="AA34" s="85"/>
    </row>
    <row r="35" spans="1:27">
      <c r="A35" s="69">
        <v>33</v>
      </c>
      <c r="B35" s="82" t="s">
        <v>376</v>
      </c>
      <c r="C35" s="457" t="s">
        <v>377</v>
      </c>
      <c r="D35" s="70" t="s">
        <v>61</v>
      </c>
      <c r="E35" s="70" t="s">
        <v>62</v>
      </c>
      <c r="F35" s="70" t="s">
        <v>215</v>
      </c>
      <c r="G35" s="70"/>
      <c r="H35" s="306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1" t="s">
        <v>73</v>
      </c>
      <c r="AA35" s="85" t="s">
        <v>148</v>
      </c>
    </row>
    <row r="36" spans="1:27">
      <c r="A36" s="69">
        <v>34</v>
      </c>
      <c r="B36" s="82" t="s">
        <v>378</v>
      </c>
      <c r="C36" s="457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1" t="s">
        <v>110</v>
      </c>
      <c r="AA36" s="85"/>
    </row>
    <row r="37" spans="1:27">
      <c r="A37" s="69">
        <v>35</v>
      </c>
      <c r="B37" s="82" t="s">
        <v>379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1" t="s">
        <v>73</v>
      </c>
      <c r="AA37" s="85"/>
    </row>
    <row r="38" spans="1:27">
      <c r="A38" s="69">
        <v>36</v>
      </c>
      <c r="B38" s="82" t="s">
        <v>380</v>
      </c>
      <c r="C38" s="457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1" t="s">
        <v>110</v>
      </c>
      <c r="AA38" s="85"/>
    </row>
    <row r="39" spans="1:27">
      <c r="A39" s="69">
        <v>37</v>
      </c>
      <c r="B39" s="82" t="s">
        <v>381</v>
      </c>
      <c r="C39" s="445" t="s">
        <v>382</v>
      </c>
      <c r="D39" s="70" t="s">
        <v>61</v>
      </c>
      <c r="E39" s="70" t="s">
        <v>62</v>
      </c>
      <c r="F39" s="70" t="s">
        <v>151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1" t="s">
        <v>73</v>
      </c>
      <c r="AA39" s="85"/>
    </row>
    <row r="40" spans="1:27">
      <c r="A40" s="69">
        <v>38</v>
      </c>
      <c r="B40" s="82" t="s">
        <v>383</v>
      </c>
      <c r="C40" s="459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1" t="s">
        <v>110</v>
      </c>
      <c r="AA40" s="85"/>
    </row>
    <row r="41" spans="1:27">
      <c r="A41" s="69">
        <v>39</v>
      </c>
      <c r="B41" s="82" t="s">
        <v>384</v>
      </c>
      <c r="C41" s="457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1" t="s">
        <v>110</v>
      </c>
      <c r="AA41" s="85"/>
    </row>
    <row r="42" spans="1:27">
      <c r="A42" s="69">
        <v>40</v>
      </c>
      <c r="B42" s="82" t="s">
        <v>385</v>
      </c>
      <c r="C42" s="457" t="s">
        <v>386</v>
      </c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1" t="s">
        <v>110</v>
      </c>
      <c r="AA42" s="85"/>
    </row>
    <row r="43" spans="1:27">
      <c r="A43" s="69">
        <v>41</v>
      </c>
      <c r="B43" s="82" t="s">
        <v>387</v>
      </c>
      <c r="C43" s="457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1" t="s">
        <v>110</v>
      </c>
      <c r="AA43" s="85"/>
    </row>
    <row r="44" spans="1:27">
      <c r="A44" s="351">
        <v>42</v>
      </c>
      <c r="B44" s="345" t="s">
        <v>388</v>
      </c>
      <c r="C44" s="46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401"/>
      <c r="O44" s="401"/>
      <c r="P44" s="401"/>
      <c r="Q44" s="401"/>
      <c r="R44" s="401"/>
      <c r="S44" s="401"/>
      <c r="T44" s="401"/>
      <c r="U44" s="401"/>
      <c r="V44" s="401"/>
      <c r="W44" s="401"/>
      <c r="X44" s="401"/>
      <c r="Y44" s="401"/>
      <c r="Z44" s="71" t="s">
        <v>110</v>
      </c>
      <c r="AA44" s="346" t="s">
        <v>389</v>
      </c>
    </row>
    <row r="45" spans="1:27">
      <c r="A45" s="352">
        <v>43</v>
      </c>
      <c r="B45" s="347" t="s">
        <v>390</v>
      </c>
      <c r="C45" s="458" t="s">
        <v>391</v>
      </c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71" t="s">
        <v>110</v>
      </c>
      <c r="AA45" s="348" t="s">
        <v>389</v>
      </c>
    </row>
    <row r="46" spans="1:27">
      <c r="A46" s="352">
        <v>44</v>
      </c>
      <c r="B46" s="347" t="s">
        <v>392</v>
      </c>
      <c r="C46" s="458" t="s">
        <v>393</v>
      </c>
      <c r="D46" s="347" t="s">
        <v>92</v>
      </c>
      <c r="E46" s="347" t="s">
        <v>62</v>
      </c>
      <c r="F46" s="347" t="s">
        <v>138</v>
      </c>
      <c r="G46" s="347" t="s">
        <v>349</v>
      </c>
      <c r="H46" s="347"/>
      <c r="I46" s="347"/>
      <c r="J46" s="347"/>
      <c r="K46" s="347"/>
      <c r="L46" s="347"/>
      <c r="M46" s="347"/>
      <c r="N46" s="401"/>
      <c r="O46" s="401"/>
      <c r="P46" s="401"/>
      <c r="Q46" s="401"/>
      <c r="R46" s="401"/>
      <c r="S46" s="401"/>
      <c r="T46" s="401"/>
      <c r="U46" s="401"/>
      <c r="V46" s="401"/>
      <c r="W46" s="401"/>
      <c r="X46" s="401"/>
      <c r="Y46" s="401"/>
      <c r="Z46" s="71" t="s">
        <v>110</v>
      </c>
      <c r="AA46" s="348" t="s">
        <v>389</v>
      </c>
    </row>
    <row r="47" spans="1:27">
      <c r="A47" s="352">
        <v>45</v>
      </c>
      <c r="B47" s="347" t="s">
        <v>394</v>
      </c>
      <c r="C47" s="458" t="s">
        <v>395</v>
      </c>
      <c r="D47" s="347" t="s">
        <v>92</v>
      </c>
      <c r="E47" s="347" t="s">
        <v>62</v>
      </c>
      <c r="F47" s="347" t="s">
        <v>138</v>
      </c>
      <c r="G47" s="347" t="s">
        <v>396</v>
      </c>
      <c r="H47" s="347"/>
      <c r="I47" s="347"/>
      <c r="J47" s="347"/>
      <c r="K47" s="347"/>
      <c r="L47" s="347"/>
      <c r="M47" s="347"/>
      <c r="N47" s="401"/>
      <c r="O47" s="401"/>
      <c r="P47" s="401"/>
      <c r="Q47" s="401"/>
      <c r="R47" s="401"/>
      <c r="S47" s="401"/>
      <c r="T47" s="401"/>
      <c r="U47" s="401"/>
      <c r="V47" s="401"/>
      <c r="W47" s="401"/>
      <c r="X47" s="401"/>
      <c r="Y47" s="401"/>
      <c r="Z47" s="71" t="s">
        <v>110</v>
      </c>
      <c r="AA47" s="348" t="s">
        <v>389</v>
      </c>
    </row>
    <row r="48" spans="1:27">
      <c r="A48" s="352">
        <v>46</v>
      </c>
      <c r="B48" s="347" t="s">
        <v>397</v>
      </c>
      <c r="C48" s="458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71" t="s">
        <v>110</v>
      </c>
      <c r="AA48" s="349"/>
    </row>
    <row r="49" spans="1:27">
      <c r="A49" s="352">
        <v>47</v>
      </c>
      <c r="B49" s="347" t="s">
        <v>398</v>
      </c>
      <c r="C49" s="456" t="s">
        <v>399</v>
      </c>
      <c r="D49" s="347" t="s">
        <v>389</v>
      </c>
      <c r="E49" s="347" t="s">
        <v>389</v>
      </c>
      <c r="F49" s="347" t="s">
        <v>151</v>
      </c>
      <c r="G49" s="347" t="s">
        <v>400</v>
      </c>
      <c r="H49" s="347" t="s">
        <v>389</v>
      </c>
      <c r="I49" s="347" t="s">
        <v>389</v>
      </c>
      <c r="J49" s="347" t="s">
        <v>389</v>
      </c>
      <c r="K49" s="347" t="s">
        <v>389</v>
      </c>
      <c r="L49" s="347" t="s">
        <v>389</v>
      </c>
      <c r="M49" s="347" t="s">
        <v>78</v>
      </c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71" t="s">
        <v>73</v>
      </c>
      <c r="AA49" s="349"/>
    </row>
    <row r="50" spans="1:27">
      <c r="A50" s="352">
        <v>48</v>
      </c>
      <c r="B50" s="347" t="s">
        <v>401</v>
      </c>
      <c r="C50" s="458"/>
      <c r="D50" s="347"/>
      <c r="E50" s="347"/>
      <c r="F50" s="347"/>
      <c r="G50" s="347"/>
      <c r="H50" s="347" t="s">
        <v>389</v>
      </c>
      <c r="I50" s="347" t="s">
        <v>389</v>
      </c>
      <c r="J50" s="347" t="s">
        <v>389</v>
      </c>
      <c r="K50" s="347" t="s">
        <v>389</v>
      </c>
      <c r="L50" s="347" t="s">
        <v>389</v>
      </c>
      <c r="M50" s="350" t="s">
        <v>389</v>
      </c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71" t="s">
        <v>110</v>
      </c>
      <c r="AA50" s="348" t="s">
        <v>389</v>
      </c>
    </row>
    <row r="51" spans="1:27">
      <c r="A51" s="69">
        <v>49</v>
      </c>
      <c r="B51" s="82" t="s">
        <v>402</v>
      </c>
      <c r="C51" s="445" t="s">
        <v>403</v>
      </c>
      <c r="D51" s="70" t="s">
        <v>61</v>
      </c>
      <c r="E51" s="70" t="s">
        <v>82</v>
      </c>
      <c r="F51" s="70" t="s">
        <v>83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1" t="s">
        <v>73</v>
      </c>
      <c r="AA51" s="85" t="s">
        <v>296</v>
      </c>
    </row>
    <row r="52" spans="1:27">
      <c r="A52" s="69">
        <v>50</v>
      </c>
      <c r="B52" s="82" t="s">
        <v>404</v>
      </c>
      <c r="C52" s="457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1" t="s">
        <v>110</v>
      </c>
      <c r="AA52" s="85"/>
    </row>
    <row r="53" spans="1:27">
      <c r="A53" s="69">
        <v>51</v>
      </c>
      <c r="B53" s="82" t="s">
        <v>405</v>
      </c>
      <c r="C53" s="457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1" t="s">
        <v>110</v>
      </c>
      <c r="AA53" s="85"/>
    </row>
    <row r="54" spans="1:27">
      <c r="A54" s="69">
        <v>52</v>
      </c>
      <c r="B54" s="82" t="s">
        <v>406</v>
      </c>
      <c r="C54" s="457" t="s">
        <v>407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1" t="s">
        <v>110</v>
      </c>
      <c r="AA54" s="85"/>
    </row>
    <row r="55" spans="1:27">
      <c r="A55" s="69">
        <v>53</v>
      </c>
      <c r="B55" s="82" t="s">
        <v>408</v>
      </c>
      <c r="C55" s="457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1" t="s">
        <v>110</v>
      </c>
      <c r="AA55" s="85"/>
    </row>
    <row r="56" spans="1:27">
      <c r="A56" s="69">
        <v>54</v>
      </c>
      <c r="B56" s="82" t="s">
        <v>409</v>
      </c>
      <c r="C56" s="457" t="s">
        <v>410</v>
      </c>
      <c r="D56" s="70" t="s">
        <v>92</v>
      </c>
      <c r="E56" s="70" t="s">
        <v>62</v>
      </c>
      <c r="F56" s="70" t="s">
        <v>138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1" t="s">
        <v>73</v>
      </c>
      <c r="AA56" s="85" t="s">
        <v>411</v>
      </c>
    </row>
    <row r="57" spans="1:27">
      <c r="A57" s="69">
        <v>55</v>
      </c>
      <c r="B57" s="82" t="s">
        <v>412</v>
      </c>
      <c r="C57" s="457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1" t="s">
        <v>110</v>
      </c>
      <c r="AA57" s="85"/>
    </row>
    <row r="58" spans="1:27">
      <c r="A58" s="69">
        <v>56</v>
      </c>
      <c r="B58" s="82" t="s">
        <v>413</v>
      </c>
      <c r="C58" s="457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1" t="s">
        <v>110</v>
      </c>
      <c r="AA58" s="85"/>
    </row>
    <row r="59" spans="1:27">
      <c r="A59" s="69">
        <v>57</v>
      </c>
      <c r="B59" s="82" t="s">
        <v>414</v>
      </c>
      <c r="C59" s="272" t="s">
        <v>415</v>
      </c>
      <c r="D59" s="70" t="s">
        <v>416</v>
      </c>
      <c r="E59" s="70" t="s">
        <v>62</v>
      </c>
      <c r="F59" s="70" t="s">
        <v>215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1" t="s">
        <v>73</v>
      </c>
      <c r="AA59" s="85" t="s">
        <v>411</v>
      </c>
    </row>
    <row r="60" spans="1:27">
      <c r="A60" s="304">
        <v>58</v>
      </c>
      <c r="B60" s="305" t="s">
        <v>15</v>
      </c>
      <c r="C60" s="457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1" t="s">
        <v>110</v>
      </c>
      <c r="AA60" s="85"/>
    </row>
    <row r="61" spans="1:27">
      <c r="A61" s="83"/>
      <c r="C61" s="15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</row>
    <row r="63" spans="1:27">
      <c r="D63" s="567" t="s">
        <v>122</v>
      </c>
      <c r="E63" s="75" t="s">
        <v>123</v>
      </c>
      <c r="F63" s="76" t="s">
        <v>124</v>
      </c>
      <c r="G63" s="77" t="s">
        <v>125</v>
      </c>
      <c r="H63" s="78" t="s">
        <v>126</v>
      </c>
      <c r="J63" s="567" t="s">
        <v>122</v>
      </c>
      <c r="K63" s="569" t="s">
        <v>127</v>
      </c>
      <c r="L63" s="569"/>
      <c r="M63" s="569" t="s">
        <v>128</v>
      </c>
      <c r="N63" s="570"/>
      <c r="O63" s="570"/>
      <c r="P63" s="570"/>
      <c r="Q63" s="570"/>
      <c r="R63" s="570"/>
      <c r="S63" s="570"/>
      <c r="T63" s="570"/>
      <c r="U63" s="570"/>
      <c r="V63" s="570"/>
      <c r="W63" s="570"/>
      <c r="X63" s="570"/>
      <c r="Y63" s="570"/>
      <c r="Z63" s="571"/>
    </row>
    <row r="64" spans="1:27">
      <c r="D64" s="568"/>
      <c r="E64" s="74">
        <f>COUNTIF($Z$3:$Z$60,DATOS!O2)</f>
        <v>43</v>
      </c>
      <c r="F64" s="74">
        <f>COUNTIF($Z$3:$Z$60,DATOS!O3)</f>
        <v>15</v>
      </c>
      <c r="G64" s="74">
        <f>COUNTIF($Z$3:$Z$60,DATOS!O4)</f>
        <v>0</v>
      </c>
      <c r="H64" s="79">
        <f>SUM(E64:G64)</f>
        <v>58</v>
      </c>
      <c r="J64" s="568"/>
      <c r="K64" s="572">
        <f>COUNTIF(M4:$M$60,DATOS!Q2)</f>
        <v>6</v>
      </c>
      <c r="L64" s="572"/>
      <c r="M64" s="572">
        <f>COUNTIF($M4:$M$60,DATOS!Q3)</f>
        <v>2</v>
      </c>
      <c r="N64" s="573"/>
      <c r="O64" s="573"/>
      <c r="P64" s="573"/>
      <c r="Q64" s="573"/>
      <c r="R64" s="573"/>
      <c r="S64" s="573"/>
      <c r="T64" s="573"/>
      <c r="U64" s="573"/>
      <c r="V64" s="573"/>
      <c r="W64" s="573"/>
      <c r="X64" s="573"/>
      <c r="Y64" s="573"/>
      <c r="Z64" s="574"/>
    </row>
    <row r="66" spans="4:26" ht="35.25" customHeight="1">
      <c r="D66" s="562" t="s">
        <v>129</v>
      </c>
      <c r="E66" s="70" t="str">
        <f>DATOS!G2</f>
        <v>INALÁMBRICO</v>
      </c>
      <c r="F66" s="70" t="str">
        <f>DATOS!G3</f>
        <v>ALÁMBRICO</v>
      </c>
      <c r="G66" s="80" t="str">
        <f>DATOS!G4</f>
        <v>ALÁMBRICO/INALÁMBRICO</v>
      </c>
      <c r="J66" s="538" t="s">
        <v>130</v>
      </c>
      <c r="K66" s="539"/>
      <c r="L66" s="539"/>
      <c r="M66" s="539"/>
      <c r="N66" s="539"/>
      <c r="O66" s="539"/>
      <c r="P66" s="539"/>
      <c r="Q66" s="539"/>
      <c r="R66" s="539"/>
      <c r="S66" s="539"/>
      <c r="T66" s="539"/>
      <c r="U66" s="539"/>
      <c r="V66" s="539"/>
      <c r="W66" s="539"/>
      <c r="X66" s="539"/>
      <c r="Y66" s="539"/>
      <c r="Z66" s="540"/>
    </row>
    <row r="67" spans="4:26">
      <c r="D67" s="563"/>
      <c r="E67" s="73">
        <f>COUNTIF(J4:$J$60,DATOS!G2)</f>
        <v>2</v>
      </c>
      <c r="F67" s="73">
        <f>COUNTIF(J4:J60,DATOS!G3)</f>
        <v>0</v>
      </c>
      <c r="G67" s="81">
        <f>COUNTIF($J4:$J$60,DATOS!G4)</f>
        <v>0</v>
      </c>
    </row>
  </sheetData>
  <mergeCells count="9">
    <mergeCell ref="D66:D67"/>
    <mergeCell ref="J66:Z66"/>
    <mergeCell ref="A1:AA1"/>
    <mergeCell ref="D63:D64"/>
    <mergeCell ref="J63:J64"/>
    <mergeCell ref="K63:L63"/>
    <mergeCell ref="M63:Z63"/>
    <mergeCell ref="K64:L64"/>
    <mergeCell ref="M64:Z64"/>
  </mergeCells>
  <dataValidations count="1">
    <dataValidation allowBlank="1" showInputMessage="1" showErrorMessage="1" sqref="Q3:Q60 V3:V60 Y3:Y60" xr:uid="{1ECA3553-4C06-45B3-9899-27DB4F3D0CC1}"/>
  </dataValidations>
  <hyperlinks>
    <hyperlink ref="J66" location="RANGO!A1" display="REGRESAR A LA PESTALLA PRINCIPAL" xr:uid="{8DAC98BD-4E87-4ED0-978C-AE85D0BF90A8}"/>
  </hyperlink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DBB3212-28CE-4A6A-86BA-D51759699F5C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CB765C1F-4FEB-43E1-A62C-1E7FA44BCC8C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26739188-5234-4409-8B28-2A844B4A97F0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Z3:Z61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BA010E3-44E5-47F0-9CAA-DBD6252E1EA3}">
          <x14:formula1>
            <xm:f>DATOS!$O$2:$O$4</xm:f>
          </x14:formula1>
          <xm:sqref>Z3:Z61</xm:sqref>
        </x14:dataValidation>
        <x14:dataValidation type="list" allowBlank="1" showInputMessage="1" showErrorMessage="1" xr:uid="{7BAA7C1A-40DF-49E4-826B-939C424A9BD0}">
          <x14:formula1>
            <xm:f>DATOS!$M$2:$M$3</xm:f>
          </x14:formula1>
          <xm:sqref>E38:E43 E51:E61 E31:E32 E34:E36 E4:E28</xm:sqref>
        </x14:dataValidation>
        <x14:dataValidation type="list" allowBlank="1" showInputMessage="1" showErrorMessage="1" xr:uid="{9AE9F4E1-A29C-440A-A2EC-A037E0DDD6C4}">
          <x14:formula1>
            <xm:f>DATOS!$Q$2:$Q$3</xm:f>
          </x14:formula1>
          <xm:sqref>M51:M61 N61:Y61 M4:M43</xm:sqref>
        </x14:dataValidation>
        <x14:dataValidation type="list" allowBlank="1" showInputMessage="1" showErrorMessage="1" xr:uid="{21E1E5FE-10EA-4D0D-8AA9-645AFB39B9F3}">
          <x14:formula1>
            <xm:f>DATOS!$G$2:$G$4</xm:f>
          </x14:formula1>
          <xm:sqref>J51:J61 J4:J43</xm:sqref>
        </x14:dataValidation>
        <x14:dataValidation type="list" allowBlank="1" showInputMessage="1" showErrorMessage="1" xr:uid="{6C4A381D-421C-49C9-BC2A-C0A810241295}">
          <x14:formula1>
            <xm:f>DATOS!$I$2:$I$3</xm:f>
          </x14:formula1>
          <xm:sqref>K51:K61 K4:K43</xm:sqref>
        </x14:dataValidation>
        <x14:dataValidation type="list" allowBlank="1" showInputMessage="1" showErrorMessage="1" xr:uid="{191B4BDF-5333-4D7F-A0D7-ABC3D7B1349C}">
          <x14:formula1>
            <xm:f>DATOS!$C$2:$C$13</xm:f>
          </x14:formula1>
          <xm:sqref>L51:L61 L4:L43</xm:sqref>
        </x14:dataValidation>
        <x14:dataValidation type="list" allowBlank="1" showInputMessage="1" showErrorMessage="1" xr:uid="{26CED013-5D54-4584-8892-3FF2B2121DBA}">
          <x14:formula1>
            <xm:f>DATOS!$E$2:$E$7</xm:f>
          </x14:formula1>
          <xm:sqref>D51:D61 D31:D32 D4:D28 D34:D36 D38:D43</xm:sqref>
        </x14:dataValidation>
        <x14:dataValidation type="list" allowBlank="1" showInputMessage="1" showErrorMessage="1" xr:uid="{92D939AC-77F2-4BD1-9D6A-54471B65449A}">
          <x14:formula1>
            <xm:f>DATOS!$K$2:$K$13</xm:f>
          </x14:formula1>
          <xm:sqref>F51:F61 F31:F32 F4:F28 F34:F36 F38:F43</xm:sqref>
        </x14:dataValidation>
        <x14:dataValidation type="list" allowBlank="1" showInputMessage="1" showErrorMessage="1" xr:uid="{ABDE79F0-F533-4651-B0CD-F4BD9F1FDED5}">
          <x14:formula1>
            <xm:f>DATOS!$R$2:$R$3</xm:f>
          </x14:formula1>
          <xm:sqref>N3:P60 R3:U60 W3:X60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E711-44C0-460D-8DA6-5532D37A6C1E}">
  <sheetPr>
    <tabColor rgb="FFC00000"/>
  </sheetPr>
  <dimension ref="A1:AA91"/>
  <sheetViews>
    <sheetView topLeftCell="C1" workbookViewId="0">
      <pane ySplit="2" topLeftCell="P4" activePane="bottomLeft" state="frozen"/>
      <selection pane="bottomLeft" activeCell="AA12" sqref="AA12"/>
      <selection activeCell="N1" sqref="N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5703125" style="1" bestFit="1" customWidth="1"/>
    <col min="13" max="22" width="14.140625" style="1" customWidth="1"/>
    <col min="23" max="23" width="21.285156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577" t="str">
        <f>RANGO!E7</f>
        <v>DIRECCIÓN DE COORDINACIÓN SERCTORIAL Y REGIONAL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8"/>
      <c r="AA1" s="579"/>
    </row>
    <row r="2" spans="1:27" ht="27.75">
      <c r="A2" s="86" t="s">
        <v>33</v>
      </c>
      <c r="B2" s="112" t="s">
        <v>34</v>
      </c>
      <c r="C2" s="113" t="s">
        <v>35</v>
      </c>
      <c r="D2" s="113" t="s">
        <v>36</v>
      </c>
      <c r="E2" s="113" t="s">
        <v>37</v>
      </c>
      <c r="F2" s="112" t="s">
        <v>38</v>
      </c>
      <c r="G2" s="112" t="s">
        <v>39</v>
      </c>
      <c r="H2" s="113" t="s">
        <v>40</v>
      </c>
      <c r="I2" s="113" t="s">
        <v>41</v>
      </c>
      <c r="J2" s="113" t="s">
        <v>42</v>
      </c>
      <c r="K2" s="113" t="s">
        <v>43</v>
      </c>
      <c r="L2" s="113" t="s">
        <v>44</v>
      </c>
      <c r="M2" s="113" t="s">
        <v>45</v>
      </c>
      <c r="N2" s="113" t="s">
        <v>46</v>
      </c>
      <c r="O2" s="113" t="s">
        <v>47</v>
      </c>
      <c r="P2" s="113" t="s">
        <v>48</v>
      </c>
      <c r="Q2" s="113" t="s">
        <v>49</v>
      </c>
      <c r="R2" s="113" t="s">
        <v>50</v>
      </c>
      <c r="S2" s="113" t="s">
        <v>51</v>
      </c>
      <c r="T2" s="113" t="s">
        <v>52</v>
      </c>
      <c r="U2" s="113" t="s">
        <v>53</v>
      </c>
      <c r="V2" s="113" t="s">
        <v>54</v>
      </c>
      <c r="W2" s="113" t="s">
        <v>55</v>
      </c>
      <c r="X2" s="113" t="s">
        <v>56</v>
      </c>
      <c r="Y2" s="113" t="s">
        <v>57</v>
      </c>
      <c r="Z2" s="112" t="s">
        <v>58</v>
      </c>
      <c r="AA2" s="114" t="s">
        <v>59</v>
      </c>
    </row>
    <row r="3" spans="1:27">
      <c r="A3" s="115">
        <v>1</v>
      </c>
      <c r="B3" s="116" t="s">
        <v>16</v>
      </c>
      <c r="C3" s="454" t="s">
        <v>417</v>
      </c>
      <c r="D3" s="108" t="s">
        <v>61</v>
      </c>
      <c r="E3" s="108" t="s">
        <v>82</v>
      </c>
      <c r="F3" s="108" t="s">
        <v>83</v>
      </c>
      <c r="G3" s="117" t="s">
        <v>95</v>
      </c>
      <c r="H3" s="108" t="s">
        <v>418</v>
      </c>
      <c r="I3" s="108" t="s">
        <v>419</v>
      </c>
      <c r="J3" s="108" t="s">
        <v>65</v>
      </c>
      <c r="K3" s="108" t="s">
        <v>66</v>
      </c>
      <c r="L3" s="108" t="s">
        <v>420</v>
      </c>
      <c r="M3" s="108" t="s">
        <v>68</v>
      </c>
      <c r="N3" s="108" t="s">
        <v>69</v>
      </c>
      <c r="O3" s="108" t="s">
        <v>69</v>
      </c>
      <c r="P3" s="108" t="s">
        <v>69</v>
      </c>
      <c r="Q3" s="108" t="s">
        <v>195</v>
      </c>
      <c r="R3" s="108" t="s">
        <v>69</v>
      </c>
      <c r="S3" s="108" t="s">
        <v>69</v>
      </c>
      <c r="T3" s="108" t="s">
        <v>69</v>
      </c>
      <c r="U3" s="108" t="s">
        <v>69</v>
      </c>
      <c r="V3" s="108" t="s">
        <v>195</v>
      </c>
      <c r="W3" s="108" t="s">
        <v>69</v>
      </c>
      <c r="X3" s="108" t="s">
        <v>69</v>
      </c>
      <c r="Y3" s="108" t="s">
        <v>195</v>
      </c>
      <c r="Z3" s="118" t="s">
        <v>73</v>
      </c>
      <c r="AA3" s="119"/>
    </row>
    <row r="4" spans="1:27">
      <c r="A4" s="115">
        <v>2</v>
      </c>
      <c r="B4" s="116" t="s">
        <v>421</v>
      </c>
      <c r="C4" s="452" t="s">
        <v>422</v>
      </c>
      <c r="D4" s="108" t="s">
        <v>61</v>
      </c>
      <c r="E4" s="108" t="s">
        <v>82</v>
      </c>
      <c r="F4" s="108" t="s">
        <v>83</v>
      </c>
      <c r="G4" s="108" t="s">
        <v>95</v>
      </c>
      <c r="H4" s="108"/>
      <c r="I4" s="108"/>
      <c r="J4" s="108"/>
      <c r="K4" s="108" t="s">
        <v>66</v>
      </c>
      <c r="L4" s="108" t="s">
        <v>420</v>
      </c>
      <c r="M4" s="108" t="s">
        <v>68</v>
      </c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18" t="s">
        <v>73</v>
      </c>
      <c r="AA4" s="119"/>
    </row>
    <row r="5" spans="1:27">
      <c r="A5" s="115">
        <v>3</v>
      </c>
      <c r="B5" s="116" t="s">
        <v>423</v>
      </c>
      <c r="C5" s="272"/>
      <c r="Y5" s="108"/>
      <c r="Z5" s="118" t="s">
        <v>110</v>
      </c>
      <c r="AA5" s="119"/>
    </row>
    <row r="6" spans="1:27">
      <c r="A6" s="115">
        <v>4</v>
      </c>
      <c r="B6" s="116" t="s">
        <v>424</v>
      </c>
      <c r="C6" s="503" t="s">
        <v>425</v>
      </c>
      <c r="D6" s="108" t="s">
        <v>61</v>
      </c>
      <c r="E6" s="108" t="s">
        <v>82</v>
      </c>
      <c r="F6" s="108" t="s">
        <v>83</v>
      </c>
      <c r="G6" s="108" t="s">
        <v>95</v>
      </c>
      <c r="H6" s="108" t="s">
        <v>85</v>
      </c>
      <c r="I6" s="108" t="s">
        <v>426</v>
      </c>
      <c r="J6" s="108" t="s">
        <v>65</v>
      </c>
      <c r="K6" s="108" t="s">
        <v>66</v>
      </c>
      <c r="L6" s="108" t="s">
        <v>420</v>
      </c>
      <c r="M6" s="108" t="s">
        <v>78</v>
      </c>
      <c r="N6" s="108" t="s">
        <v>69</v>
      </c>
      <c r="O6" s="108" t="s">
        <v>69</v>
      </c>
      <c r="P6" s="108" t="s">
        <v>69</v>
      </c>
      <c r="Q6" s="108" t="s">
        <v>195</v>
      </c>
      <c r="R6" s="108" t="s">
        <v>69</v>
      </c>
      <c r="S6" s="108" t="s">
        <v>69</v>
      </c>
      <c r="T6" s="108" t="s">
        <v>69</v>
      </c>
      <c r="U6" s="108" t="s">
        <v>69</v>
      </c>
      <c r="V6" s="108" t="s">
        <v>195</v>
      </c>
      <c r="W6" s="108" t="s">
        <v>69</v>
      </c>
      <c r="X6" s="108" t="s">
        <v>69</v>
      </c>
      <c r="Y6" s="108" t="s">
        <v>195</v>
      </c>
      <c r="Z6" s="118" t="s">
        <v>73</v>
      </c>
      <c r="AA6" s="119"/>
    </row>
    <row r="7" spans="1:27">
      <c r="A7" s="115">
        <v>5</v>
      </c>
      <c r="B7" s="116" t="s">
        <v>427</v>
      </c>
      <c r="C7" s="454" t="s">
        <v>428</v>
      </c>
      <c r="D7" s="108" t="s">
        <v>155</v>
      </c>
      <c r="E7" s="108" t="s">
        <v>62</v>
      </c>
      <c r="F7" s="108" t="s">
        <v>429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18" t="s">
        <v>110</v>
      </c>
      <c r="AA7" s="119"/>
    </row>
    <row r="8" spans="1:27">
      <c r="A8" s="115">
        <v>6</v>
      </c>
      <c r="B8" s="116" t="s">
        <v>430</v>
      </c>
      <c r="C8" s="503" t="s">
        <v>431</v>
      </c>
      <c r="D8" s="108" t="s">
        <v>61</v>
      </c>
      <c r="E8" s="108" t="s">
        <v>82</v>
      </c>
      <c r="F8" s="108" t="s">
        <v>83</v>
      </c>
      <c r="G8" s="108" t="s">
        <v>95</v>
      </c>
      <c r="H8" s="108" t="s">
        <v>63</v>
      </c>
      <c r="I8" s="108" t="s">
        <v>432</v>
      </c>
      <c r="J8" s="108" t="s">
        <v>65</v>
      </c>
      <c r="K8" s="108" t="s">
        <v>66</v>
      </c>
      <c r="L8" s="108" t="s">
        <v>420</v>
      </c>
      <c r="M8" s="108" t="s">
        <v>68</v>
      </c>
      <c r="N8" s="108" t="s">
        <v>90</v>
      </c>
      <c r="O8" s="108" t="s">
        <v>90</v>
      </c>
      <c r="P8" s="108" t="s">
        <v>195</v>
      </c>
      <c r="Q8" s="108" t="s">
        <v>195</v>
      </c>
      <c r="R8" s="108" t="s">
        <v>90</v>
      </c>
      <c r="S8" s="108" t="s">
        <v>90</v>
      </c>
      <c r="T8" s="108" t="s">
        <v>90</v>
      </c>
      <c r="U8" s="108" t="s">
        <v>69</v>
      </c>
      <c r="V8" s="108" t="s">
        <v>195</v>
      </c>
      <c r="W8" s="108" t="s">
        <v>69</v>
      </c>
      <c r="X8" s="108" t="s">
        <v>90</v>
      </c>
      <c r="Y8" s="108" t="s">
        <v>195</v>
      </c>
      <c r="Z8" s="118" t="s">
        <v>73</v>
      </c>
      <c r="AA8" s="119"/>
    </row>
    <row r="9" spans="1:27">
      <c r="A9" s="115">
        <v>7</v>
      </c>
      <c r="B9" s="116" t="s">
        <v>433</v>
      </c>
      <c r="C9" s="454" t="s">
        <v>434</v>
      </c>
      <c r="D9" s="108" t="s">
        <v>61</v>
      </c>
      <c r="E9" s="108" t="s">
        <v>62</v>
      </c>
      <c r="F9" s="108" t="s">
        <v>83</v>
      </c>
      <c r="G9" s="108"/>
      <c r="H9" s="108"/>
      <c r="I9" s="108"/>
      <c r="J9" s="108"/>
      <c r="K9" s="108"/>
      <c r="L9" s="108" t="s">
        <v>420</v>
      </c>
      <c r="M9" s="108" t="s">
        <v>68</v>
      </c>
      <c r="N9" s="108" t="s">
        <v>69</v>
      </c>
      <c r="O9" s="108" t="s">
        <v>90</v>
      </c>
      <c r="P9" s="108" t="s">
        <v>195</v>
      </c>
      <c r="Q9" s="108" t="s">
        <v>195</v>
      </c>
      <c r="R9" s="108" t="s">
        <v>69</v>
      </c>
      <c r="S9" s="108" t="s">
        <v>69</v>
      </c>
      <c r="T9" s="108" t="s">
        <v>69</v>
      </c>
      <c r="U9" s="108" t="s">
        <v>69</v>
      </c>
      <c r="V9" s="108" t="s">
        <v>195</v>
      </c>
      <c r="W9" s="108" t="s">
        <v>69</v>
      </c>
      <c r="X9" s="108" t="s">
        <v>69</v>
      </c>
      <c r="Y9" s="108" t="s">
        <v>195</v>
      </c>
      <c r="Z9" s="118" t="s">
        <v>73</v>
      </c>
      <c r="AA9" s="119"/>
    </row>
    <row r="10" spans="1:27">
      <c r="A10" s="115">
        <v>8</v>
      </c>
      <c r="B10" s="116" t="s">
        <v>435</v>
      </c>
      <c r="C10" s="454" t="s">
        <v>436</v>
      </c>
      <c r="D10" s="108" t="s">
        <v>61</v>
      </c>
      <c r="E10" s="108" t="s">
        <v>62</v>
      </c>
      <c r="F10" s="108" t="s">
        <v>215</v>
      </c>
      <c r="G10" s="108"/>
      <c r="H10" s="108"/>
      <c r="I10" s="108"/>
      <c r="J10" s="108"/>
      <c r="K10" s="108"/>
      <c r="L10" s="108" t="s">
        <v>420</v>
      </c>
      <c r="M10" s="108" t="s">
        <v>68</v>
      </c>
      <c r="N10" s="108" t="s">
        <v>69</v>
      </c>
      <c r="O10" s="108" t="s">
        <v>90</v>
      </c>
      <c r="P10" s="108" t="s">
        <v>69</v>
      </c>
      <c r="Q10" s="108" t="s">
        <v>195</v>
      </c>
      <c r="R10" s="108" t="s">
        <v>69</v>
      </c>
      <c r="S10" s="108" t="s">
        <v>90</v>
      </c>
      <c r="T10" s="108" t="s">
        <v>69</v>
      </c>
      <c r="U10" s="108" t="s">
        <v>69</v>
      </c>
      <c r="V10" s="108" t="s">
        <v>195</v>
      </c>
      <c r="W10" s="108" t="s">
        <v>69</v>
      </c>
      <c r="X10" s="108" t="s">
        <v>69</v>
      </c>
      <c r="Y10" s="108" t="s">
        <v>195</v>
      </c>
      <c r="Z10" s="118" t="s">
        <v>73</v>
      </c>
      <c r="AA10" s="119"/>
    </row>
    <row r="11" spans="1:27">
      <c r="A11" s="115">
        <v>9</v>
      </c>
      <c r="B11" s="116" t="s">
        <v>437</v>
      </c>
      <c r="C11" s="503" t="s">
        <v>438</v>
      </c>
      <c r="D11" s="108" t="s">
        <v>61</v>
      </c>
      <c r="E11" s="108" t="s">
        <v>82</v>
      </c>
      <c r="F11" s="108" t="s">
        <v>83</v>
      </c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18" t="s">
        <v>110</v>
      </c>
      <c r="AA11" s="119"/>
    </row>
    <row r="12" spans="1:27">
      <c r="A12" s="115">
        <v>10</v>
      </c>
      <c r="B12" s="116" t="s">
        <v>439</v>
      </c>
      <c r="C12" s="452" t="s">
        <v>440</v>
      </c>
      <c r="D12" s="108" t="s">
        <v>61</v>
      </c>
      <c r="E12" s="108" t="s">
        <v>62</v>
      </c>
      <c r="F12" s="108"/>
      <c r="G12" s="108"/>
      <c r="H12" s="108"/>
      <c r="I12" s="108"/>
      <c r="J12" s="108"/>
      <c r="K12" s="108"/>
      <c r="L12" s="108" t="s">
        <v>420</v>
      </c>
      <c r="M12" s="108" t="s">
        <v>68</v>
      </c>
      <c r="N12" s="108" t="s">
        <v>69</v>
      </c>
      <c r="O12" s="108" t="s">
        <v>90</v>
      </c>
      <c r="P12" s="108" t="s">
        <v>195</v>
      </c>
      <c r="Q12" s="108" t="s">
        <v>195</v>
      </c>
      <c r="R12" s="108" t="s">
        <v>69</v>
      </c>
      <c r="S12" s="108" t="s">
        <v>69</v>
      </c>
      <c r="T12" s="108" t="s">
        <v>69</v>
      </c>
      <c r="U12" s="108" t="s">
        <v>69</v>
      </c>
      <c r="V12" s="108" t="s">
        <v>195</v>
      </c>
      <c r="W12" s="108" t="s">
        <v>69</v>
      </c>
      <c r="X12" s="108" t="s">
        <v>69</v>
      </c>
      <c r="Y12" s="108" t="s">
        <v>195</v>
      </c>
      <c r="Z12" s="118" t="s">
        <v>73</v>
      </c>
      <c r="AA12" s="119"/>
    </row>
    <row r="13" spans="1:27">
      <c r="A13" s="115">
        <v>11</v>
      </c>
      <c r="B13" s="116" t="s">
        <v>441</v>
      </c>
      <c r="C13" s="453" t="s">
        <v>442</v>
      </c>
      <c r="D13" s="179" t="s">
        <v>61</v>
      </c>
      <c r="E13" s="179" t="s">
        <v>82</v>
      </c>
      <c r="F13" s="179" t="s">
        <v>83</v>
      </c>
      <c r="G13" s="179" t="s">
        <v>95</v>
      </c>
      <c r="H13" s="179" t="s">
        <v>85</v>
      </c>
      <c r="I13" s="179" t="s">
        <v>443</v>
      </c>
      <c r="J13" s="179" t="s">
        <v>65</v>
      </c>
      <c r="K13" s="179" t="s">
        <v>66</v>
      </c>
      <c r="L13" s="179" t="s">
        <v>444</v>
      </c>
      <c r="M13" s="179" t="s">
        <v>68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18" t="s">
        <v>73</v>
      </c>
      <c r="AA13" s="119"/>
    </row>
    <row r="14" spans="1:27">
      <c r="A14" s="115">
        <v>12</v>
      </c>
      <c r="B14" s="116" t="s">
        <v>445</v>
      </c>
      <c r="C14" s="454" t="s">
        <v>446</v>
      </c>
      <c r="D14" s="108" t="s">
        <v>61</v>
      </c>
      <c r="E14" s="108" t="s">
        <v>62</v>
      </c>
      <c r="F14" s="108"/>
      <c r="G14" s="108" t="s">
        <v>447</v>
      </c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18" t="s">
        <v>110</v>
      </c>
      <c r="AA14" s="119"/>
    </row>
    <row r="15" spans="1:27">
      <c r="A15" s="115">
        <v>13</v>
      </c>
      <c r="B15" s="116" t="s">
        <v>448</v>
      </c>
      <c r="C15" s="454" t="s">
        <v>449</v>
      </c>
      <c r="D15" s="108" t="s">
        <v>61</v>
      </c>
      <c r="E15" s="108" t="s">
        <v>62</v>
      </c>
      <c r="F15" s="108" t="s">
        <v>215</v>
      </c>
      <c r="G15" s="108"/>
      <c r="H15" s="108"/>
      <c r="I15" s="108"/>
      <c r="J15" s="108" t="s">
        <v>65</v>
      </c>
      <c r="K15" s="108" t="s">
        <v>66</v>
      </c>
      <c r="L15" s="108" t="s">
        <v>420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18" t="s">
        <v>73</v>
      </c>
      <c r="AA15" s="119" t="s">
        <v>169</v>
      </c>
    </row>
    <row r="16" spans="1:27">
      <c r="A16" s="115">
        <v>14</v>
      </c>
      <c r="B16" s="116" t="s">
        <v>450</v>
      </c>
      <c r="C16" s="503" t="s">
        <v>451</v>
      </c>
      <c r="D16" s="108" t="s">
        <v>81</v>
      </c>
      <c r="E16" s="108" t="s">
        <v>82</v>
      </c>
      <c r="F16" s="108" t="s">
        <v>83</v>
      </c>
      <c r="G16" s="312" t="s">
        <v>84</v>
      </c>
      <c r="H16" s="108" t="s">
        <v>452</v>
      </c>
      <c r="I16" s="108" t="s">
        <v>453</v>
      </c>
      <c r="J16" s="108" t="s">
        <v>87</v>
      </c>
      <c r="K16" s="108" t="s">
        <v>66</v>
      </c>
      <c r="L16" s="108" t="s">
        <v>420</v>
      </c>
      <c r="M16" s="108" t="s">
        <v>68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18" t="s">
        <v>73</v>
      </c>
      <c r="AA16" s="119"/>
    </row>
    <row r="17" spans="1:27">
      <c r="A17" s="115">
        <v>15</v>
      </c>
      <c r="B17" s="116" t="s">
        <v>454</v>
      </c>
      <c r="C17" s="432" t="s">
        <v>455</v>
      </c>
      <c r="D17" s="108" t="s">
        <v>81</v>
      </c>
      <c r="E17" s="108" t="s">
        <v>82</v>
      </c>
      <c r="F17" s="108" t="s">
        <v>83</v>
      </c>
      <c r="G17" s="312" t="s">
        <v>84</v>
      </c>
      <c r="H17" s="108" t="s">
        <v>456</v>
      </c>
      <c r="I17" s="108" t="s">
        <v>457</v>
      </c>
      <c r="J17" s="108" t="s">
        <v>87</v>
      </c>
      <c r="K17" s="108" t="s">
        <v>66</v>
      </c>
      <c r="L17" s="108" t="s">
        <v>420</v>
      </c>
      <c r="M17" s="108" t="s">
        <v>68</v>
      </c>
      <c r="N17" s="108" t="s">
        <v>69</v>
      </c>
      <c r="O17" s="108" t="s">
        <v>69</v>
      </c>
      <c r="P17" s="108" t="s">
        <v>90</v>
      </c>
      <c r="Q17" s="108" t="s">
        <v>195</v>
      </c>
      <c r="R17" s="108" t="s">
        <v>69</v>
      </c>
      <c r="S17" s="108" t="s">
        <v>69</v>
      </c>
      <c r="T17" s="108" t="s">
        <v>69</v>
      </c>
      <c r="U17" s="108" t="s">
        <v>69</v>
      </c>
      <c r="V17" s="108" t="s">
        <v>195</v>
      </c>
      <c r="W17" s="108" t="s">
        <v>69</v>
      </c>
      <c r="X17" s="108" t="s">
        <v>69</v>
      </c>
      <c r="Y17" s="108" t="s">
        <v>195</v>
      </c>
      <c r="Z17" s="118" t="s">
        <v>73</v>
      </c>
      <c r="AA17" s="313"/>
    </row>
    <row r="18" spans="1:27">
      <c r="A18" s="115">
        <v>16</v>
      </c>
      <c r="B18" s="116" t="s">
        <v>458</v>
      </c>
      <c r="C18" s="432" t="s">
        <v>459</v>
      </c>
      <c r="D18" s="108" t="s">
        <v>61</v>
      </c>
      <c r="E18" s="108" t="s">
        <v>82</v>
      </c>
      <c r="F18" s="108" t="s">
        <v>83</v>
      </c>
      <c r="G18" s="108"/>
      <c r="H18" s="108"/>
      <c r="I18" s="108"/>
      <c r="J18" s="108"/>
      <c r="K18" s="108"/>
      <c r="L18" s="108" t="s">
        <v>420</v>
      </c>
      <c r="M18" s="108" t="s">
        <v>68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18" t="s">
        <v>110</v>
      </c>
      <c r="AA18" s="313"/>
    </row>
    <row r="19" spans="1:27">
      <c r="A19" s="115">
        <v>17</v>
      </c>
      <c r="B19" s="116" t="s">
        <v>460</v>
      </c>
      <c r="C19" s="455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18" t="s">
        <v>110</v>
      </c>
      <c r="AA19" s="313"/>
    </row>
    <row r="20" spans="1:27">
      <c r="A20" s="115">
        <v>18</v>
      </c>
      <c r="B20" s="116" t="s">
        <v>461</v>
      </c>
      <c r="C20" s="455" t="s">
        <v>462</v>
      </c>
      <c r="D20" s="108" t="s">
        <v>61</v>
      </c>
      <c r="E20" s="108" t="s">
        <v>82</v>
      </c>
      <c r="F20" s="108" t="s">
        <v>83</v>
      </c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18" t="s">
        <v>73</v>
      </c>
      <c r="AA20" s="313"/>
    </row>
    <row r="21" spans="1:27">
      <c r="A21" s="115">
        <v>19</v>
      </c>
      <c r="B21" s="116" t="s">
        <v>463</v>
      </c>
      <c r="C21" s="455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18" t="s">
        <v>110</v>
      </c>
      <c r="AA21" s="313"/>
    </row>
    <row r="22" spans="1:27">
      <c r="A22" s="115">
        <v>20</v>
      </c>
      <c r="B22" s="116" t="s">
        <v>464</v>
      </c>
      <c r="C22" s="455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18" t="s">
        <v>110</v>
      </c>
      <c r="AA22" s="313"/>
    </row>
    <row r="23" spans="1:27">
      <c r="A23" s="115">
        <v>21</v>
      </c>
      <c r="B23" s="116" t="s">
        <v>465</v>
      </c>
      <c r="C23" s="455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18" t="s">
        <v>110</v>
      </c>
      <c r="AA23" s="313"/>
    </row>
    <row r="24" spans="1:27">
      <c r="A24" s="115">
        <v>22</v>
      </c>
      <c r="B24" s="116" t="s">
        <v>466</v>
      </c>
      <c r="C24" s="455" t="s">
        <v>467</v>
      </c>
      <c r="D24" s="108" t="s">
        <v>61</v>
      </c>
      <c r="E24" s="108" t="s">
        <v>62</v>
      </c>
      <c r="F24" s="108" t="s">
        <v>151</v>
      </c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18" t="s">
        <v>110</v>
      </c>
      <c r="AA24" s="313"/>
    </row>
    <row r="25" spans="1:27">
      <c r="A25" s="115">
        <v>23</v>
      </c>
      <c r="B25" s="116" t="s">
        <v>468</v>
      </c>
      <c r="C25" s="455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18" t="s">
        <v>110</v>
      </c>
      <c r="AA25" s="313"/>
    </row>
    <row r="26" spans="1:27">
      <c r="A26" s="115">
        <v>24</v>
      </c>
      <c r="B26" s="116" t="s">
        <v>469</v>
      </c>
      <c r="C26" s="455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18" t="s">
        <v>110</v>
      </c>
      <c r="AA26" s="313"/>
    </row>
    <row r="27" spans="1:27">
      <c r="A27" s="115">
        <v>25</v>
      </c>
      <c r="B27" s="116" t="s">
        <v>470</v>
      </c>
      <c r="C27" s="455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18" t="s">
        <v>110</v>
      </c>
      <c r="AA27" s="313"/>
    </row>
    <row r="28" spans="1:27">
      <c r="A28" s="115">
        <v>26</v>
      </c>
      <c r="B28" s="116" t="s">
        <v>471</v>
      </c>
      <c r="C28" s="455" t="s">
        <v>472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18" t="s">
        <v>110</v>
      </c>
      <c r="AA28" s="313"/>
    </row>
    <row r="29" spans="1:27">
      <c r="A29" s="115">
        <v>27</v>
      </c>
      <c r="B29" s="116" t="s">
        <v>473</v>
      </c>
      <c r="C29" s="455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18" t="s">
        <v>110</v>
      </c>
      <c r="AA29" s="313"/>
    </row>
    <row r="30" spans="1:27">
      <c r="A30" s="115">
        <v>28</v>
      </c>
      <c r="B30" s="116" t="s">
        <v>474</v>
      </c>
      <c r="C30" s="432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18" t="s">
        <v>110</v>
      </c>
      <c r="AA30" s="313"/>
    </row>
    <row r="31" spans="1:27">
      <c r="A31" s="115">
        <v>29</v>
      </c>
      <c r="B31" s="116" t="s">
        <v>475</v>
      </c>
      <c r="C31" s="455" t="s">
        <v>476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8" t="s">
        <v>73</v>
      </c>
      <c r="AA31" s="313"/>
    </row>
    <row r="32" spans="1:27">
      <c r="A32" s="115">
        <v>30</v>
      </c>
      <c r="B32" s="116" t="s">
        <v>477</v>
      </c>
      <c r="C32" s="455" t="s">
        <v>478</v>
      </c>
      <c r="D32" s="108" t="s">
        <v>61</v>
      </c>
      <c r="E32" s="108" t="s">
        <v>62</v>
      </c>
      <c r="F32" s="108" t="s">
        <v>138</v>
      </c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18" t="s">
        <v>110</v>
      </c>
      <c r="AA32" s="313"/>
    </row>
    <row r="33" spans="1:27">
      <c r="A33" s="115">
        <v>31</v>
      </c>
      <c r="B33" s="116" t="s">
        <v>479</v>
      </c>
      <c r="C33" s="455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18" t="s">
        <v>110</v>
      </c>
      <c r="AA33" s="313"/>
    </row>
    <row r="34" spans="1:27">
      <c r="A34" s="115">
        <v>32</v>
      </c>
      <c r="B34" s="116" t="s">
        <v>480</v>
      </c>
      <c r="C34" s="455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18" t="s">
        <v>110</v>
      </c>
      <c r="AA34" s="313"/>
    </row>
    <row r="35" spans="1:27">
      <c r="A35" s="115">
        <v>33</v>
      </c>
      <c r="B35" s="116" t="s">
        <v>481</v>
      </c>
      <c r="C35" s="455" t="s">
        <v>482</v>
      </c>
      <c r="D35" s="108" t="s">
        <v>61</v>
      </c>
      <c r="E35" s="108" t="s">
        <v>82</v>
      </c>
      <c r="F35" s="108" t="s">
        <v>83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18" t="s">
        <v>110</v>
      </c>
      <c r="AA35" s="313"/>
    </row>
    <row r="36" spans="1:27">
      <c r="A36" s="115">
        <v>34</v>
      </c>
      <c r="B36" s="116" t="s">
        <v>483</v>
      </c>
      <c r="C36" s="455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18" t="s">
        <v>110</v>
      </c>
      <c r="AA36" s="313"/>
    </row>
    <row r="37" spans="1:27">
      <c r="A37" s="115">
        <v>35</v>
      </c>
      <c r="B37" s="116" t="s">
        <v>484</v>
      </c>
      <c r="C37" s="455" t="s">
        <v>485</v>
      </c>
      <c r="D37" s="108" t="s">
        <v>155</v>
      </c>
      <c r="E37" s="108" t="s">
        <v>62</v>
      </c>
      <c r="F37" s="108" t="s">
        <v>138</v>
      </c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18" t="s">
        <v>110</v>
      </c>
      <c r="AA37" s="313"/>
    </row>
    <row r="38" spans="1:27">
      <c r="A38" s="115">
        <v>36</v>
      </c>
      <c r="B38" s="116" t="s">
        <v>486</v>
      </c>
      <c r="C38" s="455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18" t="s">
        <v>110</v>
      </c>
      <c r="AA38" s="313"/>
    </row>
    <row r="39" spans="1:27">
      <c r="A39" s="115">
        <v>37</v>
      </c>
      <c r="B39" s="116" t="s">
        <v>487</v>
      </c>
      <c r="C39" s="455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18" t="s">
        <v>110</v>
      </c>
      <c r="AA39" s="313"/>
    </row>
    <row r="40" spans="1:27">
      <c r="A40" s="115">
        <v>38</v>
      </c>
      <c r="B40" s="116" t="s">
        <v>488</v>
      </c>
      <c r="C40" s="455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18" t="s">
        <v>110</v>
      </c>
      <c r="AA40" s="313"/>
    </row>
    <row r="41" spans="1:27">
      <c r="A41" s="115">
        <v>39</v>
      </c>
      <c r="B41" s="116" t="s">
        <v>489</v>
      </c>
      <c r="C41" s="455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18" t="s">
        <v>110</v>
      </c>
      <c r="AA41" s="313"/>
    </row>
    <row r="42" spans="1:27">
      <c r="A42" s="115">
        <v>40</v>
      </c>
      <c r="B42" s="116" t="s">
        <v>490</v>
      </c>
      <c r="C42" s="455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18" t="s">
        <v>110</v>
      </c>
      <c r="AA42" s="313"/>
    </row>
    <row r="43" spans="1:27">
      <c r="A43" s="115">
        <v>41</v>
      </c>
      <c r="B43" s="116" t="s">
        <v>491</v>
      </c>
      <c r="C43" s="455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18" t="s">
        <v>110</v>
      </c>
      <c r="AA43" s="313"/>
    </row>
    <row r="44" spans="1:27">
      <c r="A44" s="115">
        <v>42</v>
      </c>
      <c r="B44" s="116" t="s">
        <v>492</v>
      </c>
      <c r="C44" s="455"/>
      <c r="D44" s="507"/>
      <c r="E44" s="507"/>
      <c r="F44" s="507"/>
      <c r="G44" s="507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18" t="s">
        <v>110</v>
      </c>
      <c r="AA44" s="313"/>
    </row>
    <row r="45" spans="1:27">
      <c r="A45" s="115">
        <v>43</v>
      </c>
      <c r="B45" s="116" t="s">
        <v>493</v>
      </c>
      <c r="C45" s="505"/>
      <c r="D45" s="509"/>
      <c r="E45" s="510"/>
      <c r="F45" s="510"/>
      <c r="G45" s="511"/>
      <c r="H45" s="50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18" t="s">
        <v>110</v>
      </c>
      <c r="AA45" s="313"/>
    </row>
    <row r="46" spans="1:27">
      <c r="A46" s="115">
        <v>44</v>
      </c>
      <c r="B46" s="116" t="s">
        <v>494</v>
      </c>
      <c r="C46" s="505"/>
      <c r="D46" s="512"/>
      <c r="E46" s="513"/>
      <c r="F46" s="513"/>
      <c r="G46" s="514"/>
      <c r="H46" s="506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18" t="s">
        <v>110</v>
      </c>
      <c r="AA46" s="313"/>
    </row>
    <row r="47" spans="1:27">
      <c r="A47" s="115">
        <v>45</v>
      </c>
      <c r="B47" s="116" t="s">
        <v>495</v>
      </c>
      <c r="C47" s="455"/>
      <c r="D47" s="508"/>
      <c r="E47" s="508"/>
      <c r="F47" s="508"/>
      <c r="G47" s="5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18" t="s">
        <v>110</v>
      </c>
      <c r="AA47" s="313"/>
    </row>
    <row r="48" spans="1:27">
      <c r="A48" s="115">
        <v>46</v>
      </c>
      <c r="B48" s="116" t="s">
        <v>496</v>
      </c>
      <c r="C48" s="455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18" t="s">
        <v>110</v>
      </c>
      <c r="AA48" s="313"/>
    </row>
    <row r="49" spans="1:27">
      <c r="A49" s="115">
        <v>47</v>
      </c>
      <c r="B49" s="116" t="s">
        <v>497</v>
      </c>
      <c r="C49" s="455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18" t="s">
        <v>110</v>
      </c>
      <c r="AA49" s="313"/>
    </row>
    <row r="50" spans="1:27">
      <c r="A50" s="120">
        <v>48</v>
      </c>
      <c r="B50" s="121" t="s">
        <v>17</v>
      </c>
      <c r="C50" s="504" t="s">
        <v>498</v>
      </c>
      <c r="D50" s="108" t="s">
        <v>61</v>
      </c>
      <c r="E50" s="108" t="s">
        <v>82</v>
      </c>
      <c r="F50" s="108" t="s">
        <v>83</v>
      </c>
      <c r="G50" s="122"/>
      <c r="H50" s="122"/>
      <c r="I50" s="122"/>
      <c r="J50" s="122"/>
      <c r="K50" s="122"/>
      <c r="L50" s="122"/>
      <c r="M50" s="122"/>
      <c r="N50" s="400"/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123" t="s">
        <v>110</v>
      </c>
      <c r="AA50" s="111"/>
    </row>
    <row r="52" spans="1:27">
      <c r="D52" s="580" t="s">
        <v>122</v>
      </c>
      <c r="E52" s="102" t="s">
        <v>123</v>
      </c>
      <c r="F52" s="103" t="s">
        <v>124</v>
      </c>
      <c r="G52" s="104" t="s">
        <v>125</v>
      </c>
      <c r="H52" s="105" t="s">
        <v>126</v>
      </c>
      <c r="J52" s="580" t="s">
        <v>122</v>
      </c>
      <c r="K52" s="582" t="s">
        <v>127</v>
      </c>
      <c r="L52" s="582"/>
      <c r="M52" s="582" t="s">
        <v>128</v>
      </c>
      <c r="N52" s="583"/>
      <c r="O52" s="583"/>
      <c r="P52" s="583"/>
      <c r="Q52" s="583"/>
      <c r="R52" s="583"/>
      <c r="S52" s="583"/>
      <c r="T52" s="583"/>
      <c r="U52" s="583"/>
      <c r="V52" s="583"/>
      <c r="W52" s="583"/>
      <c r="X52" s="583"/>
      <c r="Y52" s="583"/>
      <c r="Z52" s="584"/>
    </row>
    <row r="53" spans="1:27">
      <c r="D53" s="581"/>
      <c r="E53" s="106">
        <f>COUNTIF($Z$3:$Z$50,DATOS!O2)</f>
        <v>35</v>
      </c>
      <c r="F53" s="106">
        <f>COUNTIF($Z$3:$Z$50,DATOS!O3)</f>
        <v>13</v>
      </c>
      <c r="G53" s="106">
        <f>COUNTIF($Z$3:$Z$50,DATOS!O4)</f>
        <v>0</v>
      </c>
      <c r="H53" s="107">
        <f>SUM(E53:G53)</f>
        <v>48</v>
      </c>
      <c r="J53" s="581"/>
      <c r="K53" s="585">
        <f>COUNTIF(M3:$M$50,DATOS!Q2)</f>
        <v>10</v>
      </c>
      <c r="L53" s="585"/>
      <c r="M53" s="585">
        <f>COUNTIF($M3:$M$50,DATOS!Q3)</f>
        <v>1</v>
      </c>
      <c r="N53" s="586"/>
      <c r="O53" s="586"/>
      <c r="P53" s="586"/>
      <c r="Q53" s="586"/>
      <c r="R53" s="586"/>
      <c r="S53" s="586"/>
      <c r="T53" s="586"/>
      <c r="U53" s="586"/>
      <c r="V53" s="586"/>
      <c r="W53" s="586"/>
      <c r="X53" s="586"/>
      <c r="Y53" s="586"/>
      <c r="Z53" s="587"/>
    </row>
    <row r="55" spans="1:27" ht="27.75">
      <c r="D55" s="575" t="s">
        <v>129</v>
      </c>
      <c r="E55" s="108" t="str">
        <f>DATOS!G2</f>
        <v>INALÁMBRICO</v>
      </c>
      <c r="F55" s="108" t="str">
        <f>DATOS!G3</f>
        <v>ALÁMBRICO</v>
      </c>
      <c r="G55" s="109" t="str">
        <f>DATOS!G4</f>
        <v>ALÁMBRICO/INALÁMBRICO</v>
      </c>
      <c r="J55" s="538" t="s">
        <v>130</v>
      </c>
      <c r="K55" s="539"/>
      <c r="L55" s="539"/>
      <c r="M55" s="539"/>
      <c r="N55" s="539"/>
      <c r="O55" s="539"/>
      <c r="P55" s="539"/>
      <c r="Q55" s="539"/>
      <c r="R55" s="539"/>
      <c r="S55" s="539"/>
      <c r="T55" s="539"/>
      <c r="U55" s="539"/>
      <c r="V55" s="539"/>
      <c r="W55" s="539"/>
      <c r="X55" s="539"/>
      <c r="Y55" s="539"/>
      <c r="Z55" s="540"/>
    </row>
    <row r="56" spans="1:27">
      <c r="D56" s="576"/>
      <c r="E56" s="110">
        <f>COUNTIF(J3:$J$50,DATOS!G2)</f>
        <v>5</v>
      </c>
      <c r="F56" s="110">
        <f>COUNTIF($J3:$J50,DATOS!G3)</f>
        <v>2</v>
      </c>
      <c r="G56" s="111">
        <f>COUNTIF($J3:$J$50,DATOS!G4)</f>
        <v>0</v>
      </c>
    </row>
    <row r="91" ht="35.25" customHeight="1"/>
  </sheetData>
  <mergeCells count="9">
    <mergeCell ref="D55:D56"/>
    <mergeCell ref="J55:Z55"/>
    <mergeCell ref="A1:AA1"/>
    <mergeCell ref="D52:D53"/>
    <mergeCell ref="J52:J53"/>
    <mergeCell ref="K52:L52"/>
    <mergeCell ref="M52:Z52"/>
    <mergeCell ref="K53:L53"/>
    <mergeCell ref="M53:Z53"/>
  </mergeCells>
  <conditionalFormatting sqref="Z3">
    <cfRule type="expression" dxfId="24" priority="1">
      <formula>$C$3&gt;0</formula>
    </cfRule>
  </conditionalFormatting>
  <dataValidations count="1">
    <dataValidation allowBlank="1" showInputMessage="1" showErrorMessage="1" sqref="Y3:Y50 V3:V4 V6:V50 Q3:Q4 Q6:Q50" xr:uid="{5C714DD9-79AD-4179-AB27-D230B370EF37}"/>
  </dataValidations>
  <hyperlinks>
    <hyperlink ref="J55" location="RANGO!A1" display="REGRESAR A LA PESTALLA PRINCIPAL" xr:uid="{0031A030-F6A7-4CB6-9FB4-9FC3BC2543E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6A9DC6D-D1E9-45A0-A80C-7345B0D4DB73}">
            <xm:f>NOT(ISERROR(SEARCH(DATOS!$O$2,Z4)))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4" operator="containsText" id="{DEB9544B-6C20-4CA6-9723-14EF5C24887A}">
            <xm:f>NOT(ISERROR(SEARCH(DATOS!$O$3,Z4)))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5" operator="containsText" id="{BBC0E957-DDB6-45C3-9388-6A15F4DE36DF}">
            <xm:f>NOT(ISERROR(SEARCH(DATOS!$O$4,Z4)))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Z4:Z50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6F7F5A2-36F1-4A67-A475-3E9875836E02}">
          <x14:formula1>
            <xm:f>DATOS!$O$2:$O$4</xm:f>
          </x14:formula1>
          <xm:sqref>Z3:Z50</xm:sqref>
        </x14:dataValidation>
        <x14:dataValidation type="list" allowBlank="1" showInputMessage="1" showErrorMessage="1" xr:uid="{946F51E1-116A-4F27-80CB-E79EF2356E95}">
          <x14:formula1>
            <xm:f>DATOS!$E$2:$E$7</xm:f>
          </x14:formula1>
          <xm:sqref>D47:D50 D3:D4 D6:D45</xm:sqref>
        </x14:dataValidation>
        <x14:dataValidation type="list" allowBlank="1" showInputMessage="1" showErrorMessage="1" xr:uid="{5B839D24-EC4F-49E4-A265-DD7FB45047C1}">
          <x14:formula1>
            <xm:f>DATOS!$K$2:$K$13</xm:f>
          </x14:formula1>
          <xm:sqref>F47:F50 F3:F4 F6:F45</xm:sqref>
        </x14:dataValidation>
        <x14:dataValidation type="list" allowBlank="1" showInputMessage="1" showErrorMessage="1" xr:uid="{DE4C3053-3DD9-445F-A20D-0579285964CA}">
          <x14:formula1>
            <xm:f>DATOS!$M$2:$M$3</xm:f>
          </x14:formula1>
          <xm:sqref>E47:E50 E3:E4 E6:E45</xm:sqref>
        </x14:dataValidation>
        <x14:dataValidation type="list" allowBlank="1" showInputMessage="1" showErrorMessage="1" xr:uid="{457CA0A1-02F7-4CDE-8168-82D24BF67531}">
          <x14:formula1>
            <xm:f>DATOS!$Q$2:$Q$3</xm:f>
          </x14:formula1>
          <xm:sqref>M3:M4 M6:M50</xm:sqref>
        </x14:dataValidation>
        <x14:dataValidation type="list" allowBlank="1" showInputMessage="1" showErrorMessage="1" xr:uid="{FF26A140-5C41-456A-8ADF-BD8A37B7B7E3}">
          <x14:formula1>
            <xm:f>DATOS!$C$2:$C$13</xm:f>
          </x14:formula1>
          <xm:sqref>L3:L4 L6:L12 L14:L50</xm:sqref>
        </x14:dataValidation>
        <x14:dataValidation type="list" allowBlank="1" showInputMessage="1" showErrorMessage="1" xr:uid="{309312EE-88A7-4572-B7C1-F9408C2A27F6}">
          <x14:formula1>
            <xm:f>DATOS!$I$2:$I$3</xm:f>
          </x14:formula1>
          <xm:sqref>K3:K4 K6:K50</xm:sqref>
        </x14:dataValidation>
        <x14:dataValidation type="list" allowBlank="1" showInputMessage="1" showErrorMessage="1" xr:uid="{168275EC-3E89-48FE-9B25-9E66CD75F601}">
          <x14:formula1>
            <xm:f>DATOS!$G$2:$G$4</xm:f>
          </x14:formula1>
          <xm:sqref>J3:J4 J6:J50</xm:sqref>
        </x14:dataValidation>
        <x14:dataValidation type="list" allowBlank="1" showInputMessage="1" showErrorMessage="1" xr:uid="{2784ADA5-B544-4437-AE59-BCC877849A4B}">
          <x14:formula1>
            <xm:f>DATOS!$R$2:$R$3</xm:f>
          </x14:formula1>
          <xm:sqref>N3:P4 W3:X4 W6:X50 R3:U4 R6:U50 N6:P50</xm:sqref>
        </x14:dataValidation>
        <x14:dataValidation type="list" allowBlank="1" showInputMessage="1" showErrorMessage="1" xr:uid="{B9C922B6-5562-447E-9662-C859EA9833B9}">
          <x14:formula1>
            <xm:f>DATOS!$C$2:$C$14</xm:f>
          </x14:formula1>
          <xm:sqref>L13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EBE6-4DAC-46A4-8A90-374B9913AEA3}">
  <sheetPr>
    <tabColor theme="3" tint="9.9978637043366805E-2"/>
  </sheetPr>
  <dimension ref="A1:AA91"/>
  <sheetViews>
    <sheetView workbookViewId="0">
      <pane ySplit="2" topLeftCell="A5" activePane="bottomLeft" state="frozen"/>
      <selection pane="bottomLeft" activeCell="N5" sqref="N5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3.1406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590" t="str">
        <f>RANGO!E11</f>
        <v>DIRECCIÓN DE ASUSTOS JURÍDICOS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2"/>
    </row>
    <row r="2" spans="1:27" ht="27.75">
      <c r="A2" s="174" t="s">
        <v>33</v>
      </c>
      <c r="B2" s="175" t="s">
        <v>34</v>
      </c>
      <c r="C2" s="176" t="s">
        <v>35</v>
      </c>
      <c r="D2" s="176" t="s">
        <v>36</v>
      </c>
      <c r="E2" s="176" t="s">
        <v>37</v>
      </c>
      <c r="F2" s="175" t="s">
        <v>38</v>
      </c>
      <c r="G2" s="175" t="s">
        <v>39</v>
      </c>
      <c r="H2" s="176" t="s">
        <v>40</v>
      </c>
      <c r="I2" s="176" t="s">
        <v>41</v>
      </c>
      <c r="J2" s="176" t="s">
        <v>42</v>
      </c>
      <c r="K2" s="176" t="s">
        <v>43</v>
      </c>
      <c r="L2" s="176" t="s">
        <v>44</v>
      </c>
      <c r="M2" s="176" t="s">
        <v>45</v>
      </c>
      <c r="N2" s="176" t="s">
        <v>46</v>
      </c>
      <c r="O2" s="176" t="s">
        <v>47</v>
      </c>
      <c r="P2" s="176" t="s">
        <v>48</v>
      </c>
      <c r="Q2" s="176" t="s">
        <v>49</v>
      </c>
      <c r="R2" s="176" t="s">
        <v>50</v>
      </c>
      <c r="S2" s="176" t="s">
        <v>51</v>
      </c>
      <c r="T2" s="176" t="s">
        <v>52</v>
      </c>
      <c r="U2" s="176" t="s">
        <v>53</v>
      </c>
      <c r="V2" s="176" t="s">
        <v>54</v>
      </c>
      <c r="W2" s="176" t="s">
        <v>55</v>
      </c>
      <c r="X2" s="176" t="s">
        <v>56</v>
      </c>
      <c r="Y2" s="176" t="s">
        <v>57</v>
      </c>
      <c r="Z2" s="175" t="s">
        <v>58</v>
      </c>
      <c r="AA2" s="177" t="s">
        <v>59</v>
      </c>
    </row>
    <row r="3" spans="1:27">
      <c r="A3" s="170">
        <v>1</v>
      </c>
      <c r="B3" s="171" t="s">
        <v>24</v>
      </c>
      <c r="C3" s="475" t="s">
        <v>499</v>
      </c>
      <c r="D3" s="171" t="s">
        <v>61</v>
      </c>
      <c r="E3" s="171" t="s">
        <v>82</v>
      </c>
      <c r="F3" s="171" t="s">
        <v>83</v>
      </c>
      <c r="G3" s="169" t="s">
        <v>95</v>
      </c>
      <c r="H3" s="171" t="s">
        <v>500</v>
      </c>
      <c r="I3" s="171" t="s">
        <v>501</v>
      </c>
      <c r="J3" s="171" t="s">
        <v>65</v>
      </c>
      <c r="K3" s="171" t="s">
        <v>66</v>
      </c>
      <c r="L3" s="171" t="s">
        <v>420</v>
      </c>
      <c r="M3" s="171" t="s">
        <v>68</v>
      </c>
      <c r="N3" s="171" t="s">
        <v>69</v>
      </c>
      <c r="O3" s="171" t="s">
        <v>69</v>
      </c>
      <c r="P3" s="171" t="s">
        <v>69</v>
      </c>
      <c r="Q3" s="171" t="s">
        <v>195</v>
      </c>
      <c r="R3" s="171" t="s">
        <v>69</v>
      </c>
      <c r="S3" s="171" t="s">
        <v>69</v>
      </c>
      <c r="T3" s="171" t="s">
        <v>69</v>
      </c>
      <c r="U3" s="171" t="s">
        <v>69</v>
      </c>
      <c r="V3" s="171" t="s">
        <v>195</v>
      </c>
      <c r="W3" s="171" t="s">
        <v>69</v>
      </c>
      <c r="X3" s="171" t="s">
        <v>69</v>
      </c>
      <c r="Y3" s="171" t="s">
        <v>195</v>
      </c>
      <c r="Z3" s="172" t="s">
        <v>73</v>
      </c>
      <c r="AA3" s="173"/>
    </row>
    <row r="4" spans="1:27">
      <c r="A4" s="152">
        <v>2</v>
      </c>
      <c r="B4" s="153" t="s">
        <v>502</v>
      </c>
      <c r="C4" s="476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  <c r="Z4" s="154" t="s">
        <v>110</v>
      </c>
      <c r="AA4" s="155"/>
    </row>
    <row r="5" spans="1:27">
      <c r="A5" s="152">
        <v>3</v>
      </c>
      <c r="B5" s="153" t="s">
        <v>503</v>
      </c>
      <c r="C5" s="476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154" t="s">
        <v>73</v>
      </c>
      <c r="AA5" s="155" t="s">
        <v>504</v>
      </c>
    </row>
    <row r="6" spans="1:27">
      <c r="A6" s="152">
        <v>4</v>
      </c>
      <c r="B6" s="153" t="s">
        <v>505</v>
      </c>
      <c r="C6" s="476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154" t="s">
        <v>110</v>
      </c>
      <c r="AA6" s="155"/>
    </row>
    <row r="7" spans="1:27">
      <c r="A7" s="152">
        <v>5</v>
      </c>
      <c r="B7" s="153" t="s">
        <v>506</v>
      </c>
      <c r="C7" s="476" t="s">
        <v>507</v>
      </c>
      <c r="D7" s="153" t="s">
        <v>81</v>
      </c>
      <c r="E7" s="153" t="s">
        <v>82</v>
      </c>
      <c r="F7" s="153" t="s">
        <v>83</v>
      </c>
      <c r="G7" s="153" t="s">
        <v>99</v>
      </c>
      <c r="H7" s="153" t="s">
        <v>508</v>
      </c>
      <c r="I7" s="153" t="s">
        <v>85</v>
      </c>
      <c r="J7" s="153" t="s">
        <v>87</v>
      </c>
      <c r="K7" s="153" t="s">
        <v>66</v>
      </c>
      <c r="L7" s="153" t="s">
        <v>117</v>
      </c>
      <c r="M7" s="153" t="s">
        <v>68</v>
      </c>
      <c r="N7" s="397"/>
      <c r="O7" s="397"/>
      <c r="P7" s="397"/>
      <c r="Q7" s="397"/>
      <c r="R7" s="397"/>
      <c r="S7" s="397"/>
      <c r="T7" s="397"/>
      <c r="U7" s="397"/>
      <c r="V7" s="397"/>
      <c r="W7" s="397"/>
      <c r="X7" s="397"/>
      <c r="Y7" s="397"/>
      <c r="Z7" s="154" t="s">
        <v>73</v>
      </c>
      <c r="AA7" s="155"/>
    </row>
    <row r="8" spans="1:27">
      <c r="A8" s="152">
        <v>6</v>
      </c>
      <c r="B8" s="153" t="s">
        <v>509</v>
      </c>
      <c r="C8" s="515" t="s">
        <v>510</v>
      </c>
      <c r="D8" s="153" t="s">
        <v>81</v>
      </c>
      <c r="E8" s="153" t="s">
        <v>82</v>
      </c>
      <c r="F8" s="153" t="s">
        <v>83</v>
      </c>
      <c r="G8" s="87" t="s">
        <v>84</v>
      </c>
      <c r="H8" s="153" t="s">
        <v>85</v>
      </c>
      <c r="I8" s="153" t="s">
        <v>511</v>
      </c>
      <c r="J8" s="153" t="s">
        <v>87</v>
      </c>
      <c r="K8" s="153" t="s">
        <v>66</v>
      </c>
      <c r="L8" s="153" t="s">
        <v>117</v>
      </c>
      <c r="M8" s="153" t="s">
        <v>68</v>
      </c>
      <c r="N8" s="397" t="s">
        <v>90</v>
      </c>
      <c r="O8" s="397" t="s">
        <v>70</v>
      </c>
      <c r="P8" s="397" t="s">
        <v>90</v>
      </c>
      <c r="Q8" s="397" t="s">
        <v>70</v>
      </c>
      <c r="R8" s="397" t="s">
        <v>90</v>
      </c>
      <c r="S8" s="397" t="s">
        <v>70</v>
      </c>
      <c r="T8" s="397" t="s">
        <v>90</v>
      </c>
      <c r="U8" s="397" t="s">
        <v>69</v>
      </c>
      <c r="V8" s="397" t="s">
        <v>70</v>
      </c>
      <c r="W8" s="397" t="s">
        <v>69</v>
      </c>
      <c r="X8" s="397" t="s">
        <v>90</v>
      </c>
      <c r="Y8" s="397" t="s">
        <v>70</v>
      </c>
      <c r="Z8" s="154" t="s">
        <v>73</v>
      </c>
      <c r="AA8" s="155"/>
    </row>
    <row r="9" spans="1:27">
      <c r="A9" s="152">
        <v>7</v>
      </c>
      <c r="B9" s="153" t="s">
        <v>512</v>
      </c>
      <c r="C9" s="476"/>
      <c r="D9" s="153"/>
      <c r="E9" s="153"/>
      <c r="F9" s="153"/>
      <c r="G9" s="87"/>
      <c r="H9" s="153"/>
      <c r="I9" s="153"/>
      <c r="J9" s="153"/>
      <c r="K9" s="153"/>
      <c r="L9" s="153"/>
      <c r="M9" s="153"/>
      <c r="N9" s="397"/>
      <c r="O9" s="397"/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154" t="s">
        <v>110</v>
      </c>
      <c r="AA9" s="155"/>
    </row>
    <row r="10" spans="1:27">
      <c r="A10" s="152">
        <v>8</v>
      </c>
      <c r="B10" s="153" t="s">
        <v>513</v>
      </c>
      <c r="C10" s="433" t="s">
        <v>514</v>
      </c>
      <c r="D10" s="56" t="s">
        <v>515</v>
      </c>
      <c r="E10" s="56" t="s">
        <v>82</v>
      </c>
      <c r="F10" s="56" t="s">
        <v>83</v>
      </c>
      <c r="G10" s="56" t="s">
        <v>84</v>
      </c>
      <c r="H10" s="56"/>
      <c r="I10" s="56"/>
      <c r="J10" s="56"/>
      <c r="K10" s="56"/>
      <c r="L10" s="56"/>
      <c r="M10" s="56"/>
      <c r="N10" s="397"/>
      <c r="O10" s="397"/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154" t="s">
        <v>110</v>
      </c>
      <c r="AA10" s="155"/>
    </row>
    <row r="11" spans="1:27" s="248" customFormat="1">
      <c r="A11" s="152">
        <v>9</v>
      </c>
      <c r="B11" s="153" t="s">
        <v>516</v>
      </c>
      <c r="C11" s="477"/>
      <c r="D11" s="56"/>
      <c r="E11" s="56"/>
      <c r="F11" s="56"/>
      <c r="G11" s="56"/>
      <c r="H11" s="56"/>
      <c r="I11" s="56"/>
      <c r="J11" s="56"/>
      <c r="K11" s="56"/>
      <c r="L11" s="56"/>
      <c r="M11" s="56" t="s">
        <v>78</v>
      </c>
      <c r="N11" s="397" t="s">
        <v>69</v>
      </c>
      <c r="O11" s="397" t="s">
        <v>90</v>
      </c>
      <c r="P11" s="397" t="s">
        <v>70</v>
      </c>
      <c r="Q11" s="397" t="s">
        <v>70</v>
      </c>
      <c r="R11" s="397" t="s">
        <v>90</v>
      </c>
      <c r="S11" s="397" t="s">
        <v>90</v>
      </c>
      <c r="T11" s="397" t="s">
        <v>70</v>
      </c>
      <c r="U11" s="397" t="s">
        <v>69</v>
      </c>
      <c r="V11" s="397" t="s">
        <v>70</v>
      </c>
      <c r="W11" s="397" t="s">
        <v>69</v>
      </c>
      <c r="X11" s="397" t="s">
        <v>70</v>
      </c>
      <c r="Y11" s="397" t="s">
        <v>70</v>
      </c>
      <c r="Z11" s="154" t="s">
        <v>73</v>
      </c>
      <c r="AA11" s="155" t="s">
        <v>411</v>
      </c>
    </row>
    <row r="12" spans="1:27">
      <c r="A12" s="152">
        <v>10</v>
      </c>
      <c r="B12" s="153" t="s">
        <v>517</v>
      </c>
      <c r="C12" s="476"/>
      <c r="D12" s="153"/>
      <c r="E12" s="153"/>
      <c r="F12" s="153"/>
      <c r="G12" s="360"/>
      <c r="H12" s="153"/>
      <c r="I12" s="153"/>
      <c r="J12" s="153"/>
      <c r="K12" s="153"/>
      <c r="L12" s="153"/>
      <c r="M12" s="153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154" t="s">
        <v>110</v>
      </c>
      <c r="AA12" s="155"/>
    </row>
    <row r="13" spans="1:27" ht="30" customHeight="1">
      <c r="A13" s="152">
        <v>11</v>
      </c>
      <c r="B13" s="153" t="s">
        <v>518</v>
      </c>
      <c r="C13" s="476"/>
      <c r="D13" s="153"/>
      <c r="E13" s="153"/>
      <c r="F13" s="153"/>
      <c r="G13" s="360"/>
      <c r="H13" s="153"/>
      <c r="I13" s="153"/>
      <c r="J13" s="153"/>
      <c r="K13" s="153"/>
      <c r="L13" s="153"/>
      <c r="M13" s="153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154" t="s">
        <v>110</v>
      </c>
      <c r="AA13" s="155"/>
    </row>
    <row r="14" spans="1:27" s="248" customFormat="1">
      <c r="A14" s="152">
        <v>12</v>
      </c>
      <c r="B14" s="153" t="s">
        <v>519</v>
      </c>
      <c r="C14" s="476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154" t="s">
        <v>110</v>
      </c>
      <c r="AA14" s="155"/>
    </row>
    <row r="15" spans="1:27">
      <c r="A15" s="152">
        <v>13</v>
      </c>
      <c r="B15" s="153" t="s">
        <v>520</v>
      </c>
      <c r="C15" s="434" t="s">
        <v>521</v>
      </c>
      <c r="D15" s="153" t="s">
        <v>81</v>
      </c>
      <c r="E15" s="153" t="s">
        <v>82</v>
      </c>
      <c r="F15" s="153" t="s">
        <v>83</v>
      </c>
      <c r="G15" s="153"/>
      <c r="H15" s="153"/>
      <c r="I15" s="153"/>
      <c r="J15" s="153"/>
      <c r="K15" s="153"/>
      <c r="L15" s="153" t="s">
        <v>117</v>
      </c>
      <c r="M15" s="153" t="s">
        <v>68</v>
      </c>
      <c r="N15" s="397" t="s">
        <v>69</v>
      </c>
      <c r="O15" s="397" t="s">
        <v>90</v>
      </c>
      <c r="P15" s="397" t="s">
        <v>90</v>
      </c>
      <c r="Q15" s="397" t="s">
        <v>70</v>
      </c>
      <c r="R15" s="397" t="s">
        <v>69</v>
      </c>
      <c r="S15" s="397" t="s">
        <v>69</v>
      </c>
      <c r="T15" s="397" t="s">
        <v>69</v>
      </c>
      <c r="U15" s="397" t="s">
        <v>69</v>
      </c>
      <c r="V15" s="397" t="s">
        <v>70</v>
      </c>
      <c r="W15" s="397" t="s">
        <v>69</v>
      </c>
      <c r="X15" s="397" t="s">
        <v>90</v>
      </c>
      <c r="Y15" s="397" t="s">
        <v>70</v>
      </c>
      <c r="Z15" s="154" t="s">
        <v>73</v>
      </c>
      <c r="AA15" s="155"/>
    </row>
    <row r="16" spans="1:27">
      <c r="A16" s="152">
        <v>14</v>
      </c>
      <c r="B16" s="153" t="s">
        <v>522</v>
      </c>
      <c r="C16" s="47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154" t="s">
        <v>110</v>
      </c>
      <c r="AA16" s="155"/>
    </row>
    <row r="17" spans="1:27">
      <c r="A17" s="152">
        <v>15</v>
      </c>
      <c r="B17" s="153" t="s">
        <v>523</v>
      </c>
      <c r="C17" s="47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397"/>
      <c r="O17" s="397"/>
      <c r="P17" s="397"/>
      <c r="Q17" s="397"/>
      <c r="R17" s="397"/>
      <c r="S17" s="397"/>
      <c r="T17" s="397"/>
      <c r="U17" s="397"/>
      <c r="V17" s="397"/>
      <c r="W17" s="397"/>
      <c r="X17" s="397"/>
      <c r="Y17" s="397"/>
      <c r="Z17" s="154" t="s">
        <v>110</v>
      </c>
      <c r="AA17" s="361"/>
    </row>
    <row r="18" spans="1:27" s="248" customFormat="1">
      <c r="A18" s="152">
        <v>16</v>
      </c>
      <c r="B18" s="153" t="s">
        <v>524</v>
      </c>
      <c r="C18" s="516" t="s">
        <v>525</v>
      </c>
      <c r="D18" s="153" t="s">
        <v>526</v>
      </c>
      <c r="E18" s="153" t="s">
        <v>62</v>
      </c>
      <c r="F18" s="153" t="s">
        <v>138</v>
      </c>
      <c r="G18" s="153" t="s">
        <v>527</v>
      </c>
      <c r="H18" s="153" t="s">
        <v>85</v>
      </c>
      <c r="I18" s="153" t="s">
        <v>528</v>
      </c>
      <c r="J18" s="153" t="s">
        <v>65</v>
      </c>
      <c r="K18" s="153" t="s">
        <v>66</v>
      </c>
      <c r="L18" s="153" t="s">
        <v>117</v>
      </c>
      <c r="M18" s="153" t="s">
        <v>68</v>
      </c>
      <c r="N18" s="397" t="s">
        <v>90</v>
      </c>
      <c r="O18" s="397" t="s">
        <v>70</v>
      </c>
      <c r="P18" s="397" t="s">
        <v>90</v>
      </c>
      <c r="Q18" s="397" t="s">
        <v>70</v>
      </c>
      <c r="R18" s="397" t="s">
        <v>90</v>
      </c>
      <c r="S18" s="397" t="s">
        <v>70</v>
      </c>
      <c r="T18" s="397" t="s">
        <v>90</v>
      </c>
      <c r="U18" s="397" t="s">
        <v>69</v>
      </c>
      <c r="V18" s="397" t="s">
        <v>70</v>
      </c>
      <c r="W18" s="397" t="s">
        <v>69</v>
      </c>
      <c r="X18" s="397" t="s">
        <v>90</v>
      </c>
      <c r="Y18" s="397" t="s">
        <v>70</v>
      </c>
      <c r="Z18" s="154" t="s">
        <v>73</v>
      </c>
      <c r="AA18" s="361"/>
    </row>
    <row r="19" spans="1:27">
      <c r="A19" s="152">
        <v>17</v>
      </c>
      <c r="B19" s="153" t="s">
        <v>529</v>
      </c>
      <c r="C19" s="47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397"/>
      <c r="O19" s="397"/>
      <c r="P19" s="397"/>
      <c r="Q19" s="397"/>
      <c r="R19" s="397"/>
      <c r="S19" s="397"/>
      <c r="T19" s="397"/>
      <c r="U19" s="397"/>
      <c r="V19" s="397"/>
      <c r="W19" s="397"/>
      <c r="X19" s="397"/>
      <c r="Y19" s="397"/>
      <c r="Z19" s="154" t="s">
        <v>110</v>
      </c>
      <c r="AA19" s="361"/>
    </row>
    <row r="20" spans="1:27">
      <c r="A20" s="152">
        <v>18</v>
      </c>
      <c r="B20" s="153" t="s">
        <v>530</v>
      </c>
      <c r="C20" s="47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397"/>
      <c r="O20" s="397"/>
      <c r="P20" s="397"/>
      <c r="Q20" s="397"/>
      <c r="R20" s="397"/>
      <c r="S20" s="397"/>
      <c r="T20" s="397"/>
      <c r="U20" s="397"/>
      <c r="V20" s="397"/>
      <c r="W20" s="397"/>
      <c r="X20" s="397"/>
      <c r="Y20" s="397"/>
      <c r="Z20" s="154" t="s">
        <v>110</v>
      </c>
      <c r="AA20" s="361"/>
    </row>
    <row r="21" spans="1:27" s="248" customFormat="1">
      <c r="A21" s="362">
        <v>19</v>
      </c>
      <c r="B21" s="363" t="s">
        <v>25</v>
      </c>
      <c r="C21" s="474"/>
      <c r="D21" s="363"/>
      <c r="E21" s="363"/>
      <c r="F21" s="363"/>
      <c r="G21" s="363"/>
      <c r="H21" s="363"/>
      <c r="I21" s="363"/>
      <c r="J21" s="153"/>
      <c r="K21" s="153"/>
      <c r="L21" s="153"/>
      <c r="M21" s="153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64" t="s">
        <v>110</v>
      </c>
      <c r="AA21" s="157"/>
    </row>
    <row r="23" spans="1:27">
      <c r="D23" s="593" t="s">
        <v>122</v>
      </c>
      <c r="E23" s="158" t="s">
        <v>123</v>
      </c>
      <c r="F23" s="159" t="s">
        <v>124</v>
      </c>
      <c r="G23" s="160" t="s">
        <v>125</v>
      </c>
      <c r="H23" s="161" t="s">
        <v>126</v>
      </c>
      <c r="J23" s="593" t="s">
        <v>122</v>
      </c>
      <c r="K23" s="595" t="s">
        <v>127</v>
      </c>
      <c r="L23" s="595"/>
      <c r="M23" s="595" t="s">
        <v>128</v>
      </c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7"/>
    </row>
    <row r="24" spans="1:27">
      <c r="D24" s="594"/>
      <c r="E24" s="156">
        <f>COUNTIF($Z$3:$Z$21,DATOS!O2)</f>
        <v>12</v>
      </c>
      <c r="F24" s="156">
        <f>COUNTIF($Z$3:$Z$21,DATOS!O3)</f>
        <v>7</v>
      </c>
      <c r="G24" s="156">
        <f>COUNTIF($Z$3:$Z$21,DATOS!O4)</f>
        <v>0</v>
      </c>
      <c r="H24" s="162">
        <f>SUM(E24:G24)</f>
        <v>19</v>
      </c>
      <c r="J24" s="594"/>
      <c r="K24" s="598">
        <f>COUNTIF(M3:$M$21,DATOS!Q2)</f>
        <v>5</v>
      </c>
      <c r="L24" s="598"/>
      <c r="M24" s="598">
        <f>COUNTIF($M3:$M$21,DATOS!Q3)</f>
        <v>1</v>
      </c>
      <c r="N24" s="599"/>
      <c r="O24" s="599"/>
      <c r="P24" s="599"/>
      <c r="Q24" s="599"/>
      <c r="R24" s="599"/>
      <c r="S24" s="599"/>
      <c r="T24" s="599"/>
      <c r="U24" s="599"/>
      <c r="V24" s="599"/>
      <c r="W24" s="599"/>
      <c r="X24" s="599"/>
      <c r="Y24" s="599"/>
      <c r="Z24" s="600"/>
    </row>
    <row r="26" spans="1:27" ht="27.75">
      <c r="D26" s="588" t="s">
        <v>129</v>
      </c>
      <c r="E26" s="153" t="str">
        <f>DATOS!G2</f>
        <v>INALÁMBRICO</v>
      </c>
      <c r="F26" s="153" t="str">
        <f>DATOS!G3</f>
        <v>ALÁMBRICO</v>
      </c>
      <c r="G26" s="163" t="str">
        <f>DATOS!G4</f>
        <v>ALÁMBRICO/INALÁMBRICO</v>
      </c>
      <c r="J26" s="538" t="s">
        <v>130</v>
      </c>
      <c r="K26" s="539"/>
      <c r="L26" s="539"/>
      <c r="M26" s="539"/>
      <c r="N26" s="539"/>
      <c r="O26" s="539"/>
      <c r="P26" s="539"/>
      <c r="Q26" s="539"/>
      <c r="R26" s="539"/>
      <c r="S26" s="539"/>
      <c r="T26" s="539"/>
      <c r="U26" s="539"/>
      <c r="V26" s="539"/>
      <c r="W26" s="539"/>
      <c r="X26" s="539"/>
      <c r="Y26" s="539"/>
      <c r="Z26" s="540"/>
    </row>
    <row r="27" spans="1:27">
      <c r="D27" s="589"/>
      <c r="E27" s="164">
        <f>COUNTIF(J3:$J$21,DATOS!G2)</f>
        <v>2</v>
      </c>
      <c r="F27" s="164">
        <f>COUNTIF(J3:J21,DATOS!G3)</f>
        <v>2</v>
      </c>
      <c r="G27" s="157">
        <f>COUNTIF($J3:$J$21,DATOS!G4)</f>
        <v>0</v>
      </c>
    </row>
    <row r="91" ht="35.25" customHeight="1"/>
  </sheetData>
  <mergeCells count="9">
    <mergeCell ref="D26:D27"/>
    <mergeCell ref="J26:Z26"/>
    <mergeCell ref="A1:AA1"/>
    <mergeCell ref="D23:D24"/>
    <mergeCell ref="J23:J24"/>
    <mergeCell ref="K23:L23"/>
    <mergeCell ref="M23:Z23"/>
    <mergeCell ref="K24:L24"/>
    <mergeCell ref="M24:Z24"/>
  </mergeCells>
  <dataValidations count="1">
    <dataValidation allowBlank="1" showInputMessage="1" showErrorMessage="1" sqref="Q3:Q21 V3:V21 Y3:Y21" xr:uid="{D968A912-A408-4978-9E26-AFF7B8776E64}"/>
  </dataValidations>
  <hyperlinks>
    <hyperlink ref="J26" location="RANGO!A1" display="REGRESAR A LA PESTALLA PRINCIPAL" xr:uid="{7FC098B4-8254-4C62-9861-CD695CEB643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6C433C3-5C74-4868-AC6D-BF83692CB1E1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0D2C1AA0-B536-4817-983B-114C11CA3165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B78A2CD2-5144-4633-9432-970F4B3B063E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D88BE39-8BD9-4FCB-A76B-4605E9ED4C98}">
          <x14:formula1>
            <xm:f>DATOS!$M$2:$M$3</xm:f>
          </x14:formula1>
          <xm:sqref>E3:E21</xm:sqref>
        </x14:dataValidation>
        <x14:dataValidation type="list" allowBlank="1" showInputMessage="1" showErrorMessage="1" xr:uid="{A5B501BB-6809-4E68-944B-236E80AA509E}">
          <x14:formula1>
            <xm:f>DATOS!$K$2:$K$13</xm:f>
          </x14:formula1>
          <xm:sqref>F3:F21</xm:sqref>
        </x14:dataValidation>
        <x14:dataValidation type="list" allowBlank="1" showInputMessage="1" showErrorMessage="1" xr:uid="{1127E957-6788-4901-AE9C-875B8F3E4FA7}">
          <x14:formula1>
            <xm:f>DATOS!$G$2:$G$4</xm:f>
          </x14:formula1>
          <xm:sqref>J3:J21</xm:sqref>
        </x14:dataValidation>
        <x14:dataValidation type="list" allowBlank="1" showInputMessage="1" showErrorMessage="1" xr:uid="{B64CB2FF-51A3-446A-B688-5581FEB20FA7}">
          <x14:formula1>
            <xm:f>DATOS!$I$2:$I$3</xm:f>
          </x14:formula1>
          <xm:sqref>K3:K21</xm:sqref>
        </x14:dataValidation>
        <x14:dataValidation type="list" allowBlank="1" showInputMessage="1" showErrorMessage="1" xr:uid="{753A472B-84EE-412C-B2FC-B00C9717AF2E}">
          <x14:formula1>
            <xm:f>DATOS!$C$2:$C$13</xm:f>
          </x14:formula1>
          <xm:sqref>L3:L21</xm:sqref>
        </x14:dataValidation>
        <x14:dataValidation type="list" allowBlank="1" showInputMessage="1" showErrorMessage="1" xr:uid="{0DC0E1FF-C278-4674-BEA5-E34605BA7552}">
          <x14:formula1>
            <xm:f>DATOS!$O$2:$O$4</xm:f>
          </x14:formula1>
          <xm:sqref>Z3:Z21</xm:sqref>
        </x14:dataValidation>
        <x14:dataValidation type="list" allowBlank="1" showInputMessage="1" showErrorMessage="1" xr:uid="{84C8C813-E030-4A9F-90C4-CF0ECA9C2B04}">
          <x14:formula1>
            <xm:f>DATOS!$E$2:$E$7</xm:f>
          </x14:formula1>
          <xm:sqref>D3:D21</xm:sqref>
        </x14:dataValidation>
        <x14:dataValidation type="list" allowBlank="1" showInputMessage="1" showErrorMessage="1" xr:uid="{CC98D926-D516-47F6-A696-5A143F33BAFE}">
          <x14:formula1>
            <xm:f>DATOS!$Q$2:$Q$3</xm:f>
          </x14:formula1>
          <xm:sqref>M3:M21</xm:sqref>
        </x14:dataValidation>
        <x14:dataValidation type="list" allowBlank="1" showInputMessage="1" showErrorMessage="1" xr:uid="{B05F0506-96E7-4F21-B1FD-A61689F754AE}">
          <x14:formula1>
            <xm:f>DATOS!$R$2:$R$3</xm:f>
          </x14:formula1>
          <xm:sqref>N3:P21 R3:U21 W3:X21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D298-C2FC-461D-81DC-BDED9CD90C14}">
  <sheetPr>
    <tabColor theme="7" tint="-0.499984740745262"/>
  </sheetPr>
  <dimension ref="A1:AA94"/>
  <sheetViews>
    <sheetView topLeftCell="B1" workbookViewId="0">
      <pane ySplit="2" topLeftCell="B10" activePane="bottomLeft" state="frozen"/>
      <selection pane="bottomLeft" sqref="A1:AA1"/>
      <selection activeCell="B1" sqref="B1"/>
    </sheetView>
  </sheetViews>
  <sheetFormatPr defaultColWidth="11.42578125" defaultRowHeight="16.5"/>
  <cols>
    <col min="1" max="1" width="4.85546875" style="1" bestFit="1" customWidth="1"/>
    <col min="2" max="2" width="14.425781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42578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1.710937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603" t="str">
        <f>RANGO!E8</f>
        <v>DIRECCIÓN DE EVALUACIÓN Y CONTROL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5"/>
    </row>
    <row r="2" spans="1:27" ht="27.75">
      <c r="A2" s="88" t="s">
        <v>33</v>
      </c>
      <c r="B2" s="89" t="s">
        <v>34</v>
      </c>
      <c r="C2" s="90" t="s">
        <v>35</v>
      </c>
      <c r="D2" s="90" t="s">
        <v>36</v>
      </c>
      <c r="E2" s="90" t="s">
        <v>37</v>
      </c>
      <c r="F2" s="89" t="s">
        <v>38</v>
      </c>
      <c r="G2" s="89" t="s">
        <v>39</v>
      </c>
      <c r="H2" s="90" t="s">
        <v>40</v>
      </c>
      <c r="I2" s="90" t="s">
        <v>41</v>
      </c>
      <c r="J2" s="90" t="s">
        <v>42</v>
      </c>
      <c r="K2" s="90" t="s">
        <v>43</v>
      </c>
      <c r="L2" s="90" t="s">
        <v>44</v>
      </c>
      <c r="M2" s="90" t="s">
        <v>45</v>
      </c>
      <c r="N2" s="395" t="s">
        <v>46</v>
      </c>
      <c r="O2" s="395" t="s">
        <v>47</v>
      </c>
      <c r="P2" s="395" t="s">
        <v>48</v>
      </c>
      <c r="Q2" s="395" t="s">
        <v>49</v>
      </c>
      <c r="R2" s="395" t="s">
        <v>50</v>
      </c>
      <c r="S2" s="395" t="s">
        <v>51</v>
      </c>
      <c r="T2" s="395" t="s">
        <v>52</v>
      </c>
      <c r="U2" s="395" t="s">
        <v>53</v>
      </c>
      <c r="V2" s="395" t="s">
        <v>54</v>
      </c>
      <c r="W2" s="395" t="s">
        <v>55</v>
      </c>
      <c r="X2" s="395" t="s">
        <v>56</v>
      </c>
      <c r="Y2" s="395" t="s">
        <v>57</v>
      </c>
      <c r="Z2" s="89" t="s">
        <v>58</v>
      </c>
      <c r="AA2" s="91" t="s">
        <v>59</v>
      </c>
    </row>
    <row r="3" spans="1:27">
      <c r="A3" s="314">
        <v>1</v>
      </c>
      <c r="B3" s="92" t="s">
        <v>18</v>
      </c>
      <c r="C3" s="483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315" t="s">
        <v>110</v>
      </c>
      <c r="AA3" s="316"/>
    </row>
    <row r="4" spans="1:27">
      <c r="A4" s="314">
        <v>2</v>
      </c>
      <c r="B4" s="92" t="s">
        <v>531</v>
      </c>
      <c r="C4" s="483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315" t="s">
        <v>110</v>
      </c>
      <c r="AA4" s="316"/>
    </row>
    <row r="5" spans="1:27">
      <c r="A5" s="314">
        <v>3</v>
      </c>
      <c r="B5" s="92" t="s">
        <v>532</v>
      </c>
      <c r="C5" s="483" t="s">
        <v>533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315" t="s">
        <v>110</v>
      </c>
      <c r="AA5" s="316"/>
    </row>
    <row r="6" spans="1:27">
      <c r="A6" s="314">
        <v>4</v>
      </c>
      <c r="B6" s="92" t="s">
        <v>534</v>
      </c>
      <c r="C6" s="483" t="s">
        <v>533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315" t="s">
        <v>110</v>
      </c>
      <c r="AA6" s="316"/>
    </row>
    <row r="7" spans="1:27">
      <c r="A7" s="314">
        <v>5</v>
      </c>
      <c r="B7" s="92" t="s">
        <v>535</v>
      </c>
      <c r="C7" s="483" t="s">
        <v>536</v>
      </c>
      <c r="D7" s="92" t="s">
        <v>61</v>
      </c>
      <c r="E7" s="92" t="s">
        <v>82</v>
      </c>
      <c r="F7" s="92" t="s">
        <v>83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315" t="s">
        <v>110</v>
      </c>
      <c r="AA7" s="316"/>
    </row>
    <row r="8" spans="1:27">
      <c r="A8" s="314">
        <v>6</v>
      </c>
      <c r="B8" s="92" t="s">
        <v>537</v>
      </c>
      <c r="C8" s="483" t="s">
        <v>538</v>
      </c>
      <c r="D8" s="92" t="s">
        <v>61</v>
      </c>
      <c r="E8" s="92" t="s">
        <v>82</v>
      </c>
      <c r="F8" s="92" t="s">
        <v>83</v>
      </c>
      <c r="G8" s="92" t="s">
        <v>95</v>
      </c>
      <c r="H8" s="92"/>
      <c r="I8" s="92" t="s">
        <v>539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315" t="s">
        <v>73</v>
      </c>
      <c r="AA8" s="316"/>
    </row>
    <row r="9" spans="1:27">
      <c r="A9" s="314">
        <v>7</v>
      </c>
      <c r="B9" s="92" t="s">
        <v>540</v>
      </c>
      <c r="C9" s="483" t="s">
        <v>541</v>
      </c>
      <c r="D9" s="92" t="s">
        <v>81</v>
      </c>
      <c r="E9" s="92" t="s">
        <v>82</v>
      </c>
      <c r="F9" s="92" t="s">
        <v>83</v>
      </c>
      <c r="G9" s="92" t="s">
        <v>84</v>
      </c>
      <c r="H9" s="92" t="s">
        <v>542</v>
      </c>
      <c r="I9" s="92" t="s">
        <v>543</v>
      </c>
      <c r="J9" s="92" t="s">
        <v>87</v>
      </c>
      <c r="K9" s="92" t="s">
        <v>66</v>
      </c>
      <c r="L9" s="92" t="s">
        <v>544</v>
      </c>
      <c r="M9" s="92" t="s">
        <v>68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315" t="s">
        <v>73</v>
      </c>
      <c r="AA9" s="316"/>
    </row>
    <row r="10" spans="1:27">
      <c r="A10" s="314">
        <v>8</v>
      </c>
      <c r="B10" s="92" t="s">
        <v>545</v>
      </c>
      <c r="C10" s="483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315" t="s">
        <v>110</v>
      </c>
      <c r="AA10" s="316"/>
    </row>
    <row r="11" spans="1:27">
      <c r="A11" s="314">
        <v>9</v>
      </c>
      <c r="B11" s="92" t="s">
        <v>546</v>
      </c>
      <c r="C11" s="483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315" t="s">
        <v>110</v>
      </c>
      <c r="AA11" s="316"/>
    </row>
    <row r="12" spans="1:27">
      <c r="A12" s="314">
        <v>10</v>
      </c>
      <c r="B12" s="92" t="s">
        <v>547</v>
      </c>
      <c r="C12" s="483" t="s">
        <v>548</v>
      </c>
      <c r="D12" s="92" t="s">
        <v>61</v>
      </c>
      <c r="E12" s="92" t="s">
        <v>82</v>
      </c>
      <c r="F12" s="92" t="s">
        <v>83</v>
      </c>
      <c r="G12" s="92" t="s">
        <v>95</v>
      </c>
      <c r="H12" s="92" t="s">
        <v>549</v>
      </c>
      <c r="I12" s="92"/>
      <c r="J12" s="92" t="s">
        <v>65</v>
      </c>
      <c r="K12" s="92" t="s">
        <v>66</v>
      </c>
      <c r="L12" s="92" t="s">
        <v>544</v>
      </c>
      <c r="M12" s="92" t="s">
        <v>68</v>
      </c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315" t="s">
        <v>73</v>
      </c>
      <c r="AA12" s="316"/>
    </row>
    <row r="13" spans="1:27">
      <c r="A13" s="314">
        <v>11</v>
      </c>
      <c r="B13" s="324" t="s">
        <v>550</v>
      </c>
      <c r="C13" s="443" t="s">
        <v>551</v>
      </c>
      <c r="D13" s="92" t="s">
        <v>61</v>
      </c>
      <c r="E13" s="92" t="s">
        <v>82</v>
      </c>
      <c r="F13" s="92" t="s">
        <v>83</v>
      </c>
      <c r="G13" s="282"/>
      <c r="H13" s="282"/>
      <c r="I13" s="282"/>
      <c r="J13" s="282"/>
      <c r="K13" s="282"/>
      <c r="L13" s="282"/>
      <c r="M13" s="282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25" t="s">
        <v>73</v>
      </c>
      <c r="AA13" s="316"/>
    </row>
    <row r="14" spans="1:27">
      <c r="A14" s="314">
        <v>12</v>
      </c>
      <c r="B14" s="324" t="s">
        <v>552</v>
      </c>
      <c r="C14" s="483" t="s">
        <v>553</v>
      </c>
      <c r="D14" s="92" t="s">
        <v>61</v>
      </c>
      <c r="E14" s="92" t="s">
        <v>82</v>
      </c>
      <c r="F14" s="92" t="s">
        <v>83</v>
      </c>
      <c r="G14" s="92" t="s">
        <v>95</v>
      </c>
      <c r="H14" s="92" t="s">
        <v>554</v>
      </c>
      <c r="I14" s="92" t="s">
        <v>555</v>
      </c>
      <c r="J14" s="92" t="s">
        <v>65</v>
      </c>
      <c r="K14" s="92" t="s">
        <v>66</v>
      </c>
      <c r="L14" s="92" t="s">
        <v>544</v>
      </c>
      <c r="M14" s="92" t="s">
        <v>68</v>
      </c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315" t="s">
        <v>73</v>
      </c>
      <c r="AA14" s="316"/>
    </row>
    <row r="15" spans="1:27">
      <c r="A15" s="314">
        <v>13</v>
      </c>
      <c r="B15" s="324" t="s">
        <v>556</v>
      </c>
      <c r="C15" s="484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99"/>
      <c r="O15" s="399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325" t="s">
        <v>110</v>
      </c>
      <c r="AA15" s="316"/>
    </row>
    <row r="16" spans="1:27">
      <c r="A16" s="314">
        <v>14</v>
      </c>
      <c r="B16" s="324" t="s">
        <v>557</v>
      </c>
      <c r="C16" s="484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99"/>
      <c r="O16" s="399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25" t="s">
        <v>110</v>
      </c>
      <c r="AA16" s="316"/>
    </row>
    <row r="17" spans="1:27">
      <c r="A17" s="314">
        <v>15</v>
      </c>
      <c r="B17" s="324" t="s">
        <v>558</v>
      </c>
      <c r="C17" s="485" t="s">
        <v>559</v>
      </c>
      <c r="D17" s="307" t="s">
        <v>61</v>
      </c>
      <c r="E17" s="307" t="s">
        <v>62</v>
      </c>
      <c r="F17" s="307" t="s">
        <v>83</v>
      </c>
      <c r="G17" s="307"/>
      <c r="H17" s="307"/>
      <c r="I17" s="307"/>
      <c r="J17" s="307"/>
      <c r="K17" s="307"/>
      <c r="L17" s="307" t="s">
        <v>67</v>
      </c>
      <c r="M17" s="307"/>
      <c r="N17" s="399"/>
      <c r="O17" s="399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25" t="s">
        <v>73</v>
      </c>
      <c r="AA17" s="317"/>
    </row>
    <row r="18" spans="1:27">
      <c r="A18" s="314">
        <v>16</v>
      </c>
      <c r="B18" s="324" t="s">
        <v>560</v>
      </c>
      <c r="C18" s="485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99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25" t="s">
        <v>110</v>
      </c>
      <c r="AA18" s="317"/>
    </row>
    <row r="19" spans="1:27" customFormat="1" ht="15">
      <c r="A19">
        <v>17</v>
      </c>
      <c r="B19" t="s">
        <v>561</v>
      </c>
      <c r="C19" s="486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99"/>
      <c r="O19" s="399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t="s">
        <v>110</v>
      </c>
    </row>
    <row r="20" spans="1:27">
      <c r="A20" s="314">
        <v>18</v>
      </c>
      <c r="B20" s="324" t="s">
        <v>562</v>
      </c>
      <c r="C20" s="485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25" t="s">
        <v>110</v>
      </c>
      <c r="AA20" s="317"/>
    </row>
    <row r="21" spans="1:27">
      <c r="A21" s="314">
        <v>19</v>
      </c>
      <c r="B21" s="324" t="s">
        <v>563</v>
      </c>
      <c r="C21" s="485" t="s">
        <v>564</v>
      </c>
      <c r="D21" s="307" t="s">
        <v>61</v>
      </c>
      <c r="E21" s="307" t="s">
        <v>82</v>
      </c>
      <c r="F21" s="307" t="s">
        <v>83</v>
      </c>
      <c r="G21" s="307"/>
      <c r="H21" s="307"/>
      <c r="I21" s="307"/>
      <c r="J21" s="307" t="s">
        <v>65</v>
      </c>
      <c r="K21" s="307" t="s">
        <v>66</v>
      </c>
      <c r="L21" s="307" t="s">
        <v>544</v>
      </c>
      <c r="M21" s="307"/>
      <c r="N21" s="399"/>
      <c r="O21" s="399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25" t="s">
        <v>73</v>
      </c>
      <c r="AA21" s="317"/>
    </row>
    <row r="22" spans="1:27">
      <c r="A22" s="314">
        <v>20</v>
      </c>
      <c r="B22" s="324" t="s">
        <v>565</v>
      </c>
      <c r="C22" s="491" t="s">
        <v>566</v>
      </c>
      <c r="D22" s="92" t="s">
        <v>81</v>
      </c>
      <c r="E22" s="92" t="s">
        <v>62</v>
      </c>
      <c r="F22" s="92" t="s">
        <v>138</v>
      </c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315" t="s">
        <v>73</v>
      </c>
      <c r="AA22" s="317"/>
    </row>
    <row r="23" spans="1:27">
      <c r="A23" s="314">
        <v>21</v>
      </c>
      <c r="B23" s="324" t="s">
        <v>567</v>
      </c>
      <c r="C23" s="485" t="s">
        <v>568</v>
      </c>
      <c r="D23" s="307" t="s">
        <v>92</v>
      </c>
      <c r="E23" s="307" t="s">
        <v>62</v>
      </c>
      <c r="F23" s="307" t="s">
        <v>138</v>
      </c>
      <c r="G23" s="307"/>
      <c r="H23" s="307"/>
      <c r="I23" s="307"/>
      <c r="J23" s="307"/>
      <c r="K23" s="307"/>
      <c r="L23" s="307" t="s">
        <v>67</v>
      </c>
      <c r="M23" s="307"/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25" t="s">
        <v>73</v>
      </c>
      <c r="AA23" s="317" t="s">
        <v>411</v>
      </c>
    </row>
    <row r="24" spans="1:27">
      <c r="A24" s="314">
        <v>22</v>
      </c>
      <c r="B24" s="324" t="s">
        <v>569</v>
      </c>
      <c r="C24" s="491" t="s">
        <v>570</v>
      </c>
      <c r="D24" s="92" t="s">
        <v>61</v>
      </c>
      <c r="E24" s="92" t="s">
        <v>82</v>
      </c>
      <c r="F24" s="92" t="s">
        <v>83</v>
      </c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315" t="s">
        <v>73</v>
      </c>
      <c r="AA24" s="317"/>
    </row>
    <row r="25" spans="1:27">
      <c r="A25" s="314">
        <v>23</v>
      </c>
      <c r="B25" s="92" t="s">
        <v>571</v>
      </c>
      <c r="C25" s="487" t="s">
        <v>533</v>
      </c>
      <c r="D25" s="326" t="s">
        <v>92</v>
      </c>
      <c r="E25" s="326"/>
      <c r="F25" s="326"/>
      <c r="G25" s="326"/>
      <c r="H25" s="326"/>
      <c r="I25" s="326"/>
      <c r="J25" s="326"/>
      <c r="K25" s="326"/>
      <c r="L25" s="326"/>
      <c r="M25" s="326"/>
      <c r="N25" s="399"/>
      <c r="O25" s="399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15" t="s">
        <v>110</v>
      </c>
      <c r="AA25" s="317"/>
    </row>
    <row r="26" spans="1:27">
      <c r="A26" s="314">
        <v>24</v>
      </c>
      <c r="B26" s="92" t="s">
        <v>572</v>
      </c>
      <c r="C26" s="488" t="s">
        <v>533</v>
      </c>
      <c r="D26" s="92" t="s">
        <v>92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315" t="s">
        <v>110</v>
      </c>
      <c r="AA26" s="317"/>
    </row>
    <row r="27" spans="1:27">
      <c r="A27" s="314">
        <v>25</v>
      </c>
      <c r="B27" s="92" t="s">
        <v>573</v>
      </c>
      <c r="C27" s="488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315" t="s">
        <v>110</v>
      </c>
      <c r="AA27" s="317"/>
    </row>
    <row r="28" spans="1:27">
      <c r="A28" s="314">
        <v>26</v>
      </c>
      <c r="B28" s="92" t="s">
        <v>574</v>
      </c>
      <c r="C28" s="488" t="s">
        <v>533</v>
      </c>
      <c r="D28" s="318" t="s">
        <v>92</v>
      </c>
      <c r="E28" s="318"/>
      <c r="F28" s="318"/>
      <c r="G28" s="318"/>
      <c r="H28" s="318"/>
      <c r="J28" s="318"/>
      <c r="K28" s="318"/>
      <c r="L28" s="318"/>
      <c r="M28" s="318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15" t="s">
        <v>110</v>
      </c>
      <c r="AA28" s="317"/>
    </row>
    <row r="29" spans="1:27">
      <c r="A29" s="314">
        <v>27</v>
      </c>
      <c r="B29" s="92" t="s">
        <v>575</v>
      </c>
      <c r="C29" s="488" t="s">
        <v>576</v>
      </c>
      <c r="D29" s="92" t="s">
        <v>61</v>
      </c>
      <c r="E29" s="92" t="s">
        <v>62</v>
      </c>
      <c r="F29" s="92" t="s">
        <v>429</v>
      </c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315" t="s">
        <v>73</v>
      </c>
      <c r="AA29" s="317"/>
    </row>
    <row r="30" spans="1:27">
      <c r="A30" s="314">
        <v>28</v>
      </c>
      <c r="B30" s="92" t="s">
        <v>577</v>
      </c>
      <c r="C30" s="488" t="s">
        <v>533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315" t="s">
        <v>110</v>
      </c>
      <c r="AA30" s="317"/>
    </row>
    <row r="31" spans="1:27">
      <c r="A31" s="314">
        <v>29</v>
      </c>
      <c r="B31" s="92" t="s">
        <v>578</v>
      </c>
      <c r="C31" s="488" t="s">
        <v>533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315" t="s">
        <v>110</v>
      </c>
      <c r="AA31" s="317"/>
    </row>
    <row r="32" spans="1:27">
      <c r="A32" s="314">
        <v>30</v>
      </c>
      <c r="B32" s="92" t="s">
        <v>579</v>
      </c>
      <c r="C32" s="488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315" t="s">
        <v>110</v>
      </c>
      <c r="AA32" s="317"/>
    </row>
    <row r="33" spans="1:27">
      <c r="A33" s="314">
        <v>31</v>
      </c>
      <c r="B33" s="92" t="s">
        <v>580</v>
      </c>
      <c r="C33" s="488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315" t="s">
        <v>110</v>
      </c>
      <c r="AA33" s="317"/>
    </row>
    <row r="34" spans="1:27">
      <c r="A34" s="314">
        <v>32</v>
      </c>
      <c r="B34" s="92" t="s">
        <v>581</v>
      </c>
      <c r="C34" s="488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315" t="s">
        <v>110</v>
      </c>
      <c r="AA34" s="317"/>
    </row>
    <row r="35" spans="1:27">
      <c r="A35" s="314">
        <v>33</v>
      </c>
      <c r="B35" s="92" t="s">
        <v>582</v>
      </c>
      <c r="C35" s="488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315" t="s">
        <v>110</v>
      </c>
      <c r="AA35" s="317"/>
    </row>
    <row r="36" spans="1:27">
      <c r="A36" s="314">
        <v>34</v>
      </c>
      <c r="B36" s="92" t="s">
        <v>583</v>
      </c>
      <c r="C36" s="451" t="s">
        <v>584</v>
      </c>
      <c r="D36" s="319" t="s">
        <v>92</v>
      </c>
      <c r="E36" s="319" t="s">
        <v>62</v>
      </c>
      <c r="F36" s="319" t="s">
        <v>138</v>
      </c>
      <c r="G36" s="319"/>
      <c r="H36" s="319"/>
      <c r="I36" s="319"/>
      <c r="J36" s="319"/>
      <c r="K36" s="319"/>
      <c r="L36" s="319"/>
      <c r="M36" s="31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20" t="s">
        <v>73</v>
      </c>
      <c r="AA36" s="321"/>
    </row>
    <row r="37" spans="1:27">
      <c r="A37" s="314">
        <v>35</v>
      </c>
      <c r="B37" s="92" t="s">
        <v>585</v>
      </c>
      <c r="C37" s="489" t="s">
        <v>586</v>
      </c>
      <c r="D37" s="319" t="s">
        <v>61</v>
      </c>
      <c r="E37" s="319" t="s">
        <v>62</v>
      </c>
      <c r="F37" s="319" t="s">
        <v>151</v>
      </c>
      <c r="G37" s="319"/>
      <c r="H37" s="319"/>
      <c r="I37" s="319"/>
      <c r="J37" s="319" t="s">
        <v>65</v>
      </c>
      <c r="K37" s="319" t="s">
        <v>66</v>
      </c>
      <c r="L37" s="319" t="s">
        <v>544</v>
      </c>
      <c r="M37" s="31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20" t="s">
        <v>73</v>
      </c>
      <c r="AA37" s="321"/>
    </row>
    <row r="38" spans="1:27">
      <c r="A38" s="314">
        <v>36</v>
      </c>
      <c r="B38" s="92" t="s">
        <v>587</v>
      </c>
      <c r="C38" s="489"/>
      <c r="D38" s="319"/>
      <c r="E38" s="319"/>
      <c r="F38" s="319"/>
      <c r="G38" s="319"/>
      <c r="H38" s="319"/>
      <c r="I38" s="318"/>
      <c r="J38" s="319"/>
      <c r="K38" s="319"/>
      <c r="L38" s="319"/>
      <c r="M38" s="31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20" t="s">
        <v>110</v>
      </c>
      <c r="AA38" s="321"/>
    </row>
    <row r="39" spans="1:27">
      <c r="A39" s="322">
        <v>37</v>
      </c>
      <c r="B39" s="322" t="s">
        <v>19</v>
      </c>
      <c r="C39" s="490"/>
      <c r="D39" s="32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315" t="s">
        <v>110</v>
      </c>
      <c r="AA39" s="94"/>
    </row>
    <row r="41" spans="1:27">
      <c r="D41" s="606" t="s">
        <v>122</v>
      </c>
      <c r="E41" s="95" t="s">
        <v>123</v>
      </c>
      <c r="F41" s="96" t="s">
        <v>124</v>
      </c>
      <c r="G41" s="97" t="s">
        <v>125</v>
      </c>
      <c r="H41" s="98" t="s">
        <v>126</v>
      </c>
      <c r="J41" s="606" t="s">
        <v>122</v>
      </c>
      <c r="K41" s="608" t="s">
        <v>127</v>
      </c>
      <c r="L41" s="608"/>
      <c r="M41" s="608" t="s">
        <v>128</v>
      </c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10"/>
    </row>
    <row r="42" spans="1:27">
      <c r="D42" s="607"/>
      <c r="E42" s="93">
        <f>COUNTIF($Z$3:$Z$39,DATOS!O2)</f>
        <v>24</v>
      </c>
      <c r="F42" s="93">
        <f>COUNTIF($Z$3:$Z$39,DATOS!O3)</f>
        <v>13</v>
      </c>
      <c r="G42" s="93">
        <f>COUNTIF($Z$3:$Z$39,DATOS!O4)</f>
        <v>0</v>
      </c>
      <c r="H42" s="99">
        <f>SUM(E42:G42)</f>
        <v>37</v>
      </c>
      <c r="J42" s="607"/>
      <c r="K42" s="611">
        <f>COUNTIF(M3:$M$39,DATOS!Q2)</f>
        <v>3</v>
      </c>
      <c r="L42" s="611"/>
      <c r="M42" s="611">
        <f>COUNTIF($M3:$M$39,DATOS!Q3)</f>
        <v>0</v>
      </c>
      <c r="N42" s="612"/>
      <c r="O42" s="612"/>
      <c r="P42" s="612"/>
      <c r="Q42" s="612"/>
      <c r="R42" s="612"/>
      <c r="S42" s="612"/>
      <c r="T42" s="612"/>
      <c r="U42" s="612"/>
      <c r="V42" s="612"/>
      <c r="W42" s="612"/>
      <c r="X42" s="612"/>
      <c r="Y42" s="612"/>
      <c r="Z42" s="613"/>
    </row>
    <row r="44" spans="1:27" ht="27.75">
      <c r="D44" s="601" t="s">
        <v>129</v>
      </c>
      <c r="E44" s="92" t="str">
        <f>DATOS!G2</f>
        <v>INALÁMBRICO</v>
      </c>
      <c r="F44" s="92" t="str">
        <f>DATOS!G3</f>
        <v>ALÁMBRICO</v>
      </c>
      <c r="G44" s="100" t="str">
        <f>DATOS!G4</f>
        <v>ALÁMBRICO/INALÁMBRICO</v>
      </c>
      <c r="J44" s="538" t="s">
        <v>130</v>
      </c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40"/>
    </row>
    <row r="45" spans="1:27">
      <c r="D45" s="602"/>
      <c r="E45" s="101">
        <f>COUNTIF(J3:$J$39,DATOS!G2)</f>
        <v>4</v>
      </c>
      <c r="F45" s="101">
        <f>COUNTIF($J$3:$J$39,DATOS!G3)</f>
        <v>1</v>
      </c>
      <c r="G45" s="94">
        <f>COUNTIF($J3:$J$39,DATOS!G4)</f>
        <v>0</v>
      </c>
    </row>
    <row r="94" ht="35.25" customHeight="1"/>
  </sheetData>
  <mergeCells count="9">
    <mergeCell ref="D44:D45"/>
    <mergeCell ref="J44:Z44"/>
    <mergeCell ref="A1:AA1"/>
    <mergeCell ref="D41:D42"/>
    <mergeCell ref="J41:J42"/>
    <mergeCell ref="K41:L41"/>
    <mergeCell ref="M41:Z41"/>
    <mergeCell ref="K42:L42"/>
    <mergeCell ref="M42:Z42"/>
  </mergeCells>
  <dataValidations count="1">
    <dataValidation allowBlank="1" showInputMessage="1" showErrorMessage="1" sqref="Q3:Q39 V3:V39 Y3:Y39" xr:uid="{B99F8676-FB68-44D6-AD19-00F63063A4E5}"/>
  </dataValidations>
  <hyperlinks>
    <hyperlink ref="J44" location="RANGO!A1" display="REGRESAR A LA PESTALLA PRINCIPAL" xr:uid="{B0B92F2C-B591-4AF7-8212-90A9FDD77C16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C8D0150-AB73-40B9-8813-061A0ABD8851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A621FCD8-F6F7-4B94-8F54-33DB1AE5D0E4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040DBEB7-26F3-4387-B8AE-B2B3146C0BA0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3D94DCE-B8E2-48D2-9AEE-6AC624F922AC}">
          <x14:formula1>
            <xm:f>DATOS!$O$2:$O$4</xm:f>
          </x14:formula1>
          <xm:sqref>Z3:Z39</xm:sqref>
        </x14:dataValidation>
        <x14:dataValidation type="list" allowBlank="1" showInputMessage="1" showErrorMessage="1" xr:uid="{192D9EF0-D930-4728-839F-8EF948FBF359}">
          <x14:formula1>
            <xm:f>DATOS!$Q$2:$Q$3</xm:f>
          </x14:formula1>
          <xm:sqref>M3:M12 M14:M39</xm:sqref>
        </x14:dataValidation>
        <x14:dataValidation type="list" allowBlank="1" showInputMessage="1" showErrorMessage="1" xr:uid="{56DD6B11-5783-4BA9-911B-EF486648EF7F}">
          <x14:formula1>
            <xm:f>DATOS!$E$2:$E$7</xm:f>
          </x14:formula1>
          <xm:sqref>D3:D39</xm:sqref>
        </x14:dataValidation>
        <x14:dataValidation type="list" allowBlank="1" showInputMessage="1" showErrorMessage="1" xr:uid="{544E8D70-5EA4-47C3-BD21-1666632127C1}">
          <x14:formula1>
            <xm:f>DATOS!$C$2:$C$13</xm:f>
          </x14:formula1>
          <xm:sqref>L3:L12 L14:L39</xm:sqref>
        </x14:dataValidation>
        <x14:dataValidation type="list" allowBlank="1" showInputMessage="1" showErrorMessage="1" xr:uid="{DE516DE9-9673-4251-BAFF-22D67658AD0C}">
          <x14:formula1>
            <xm:f>DATOS!$I$2:$I$3</xm:f>
          </x14:formula1>
          <xm:sqref>K3:K12 K14:K39</xm:sqref>
        </x14:dataValidation>
        <x14:dataValidation type="list" allowBlank="1" showInputMessage="1" showErrorMessage="1" xr:uid="{73CA7E59-CE42-44F6-9E01-65CEA18B37FF}">
          <x14:formula1>
            <xm:f>DATOS!$G$2:$G$4</xm:f>
          </x14:formula1>
          <xm:sqref>J3:J12 J14:J39</xm:sqref>
        </x14:dataValidation>
        <x14:dataValidation type="list" allowBlank="1" showInputMessage="1" showErrorMessage="1" xr:uid="{DE9B56DA-EFEE-4BC8-B935-B40A5DABE773}">
          <x14:formula1>
            <xm:f>DATOS!$K$2:$K$13</xm:f>
          </x14:formula1>
          <xm:sqref>F3:F39</xm:sqref>
        </x14:dataValidation>
        <x14:dataValidation type="list" allowBlank="1" showInputMessage="1" showErrorMessage="1" xr:uid="{0FABD772-39FA-4412-8BCF-60304D533B6A}">
          <x14:formula1>
            <xm:f>DATOS!$M$2:$M$3</xm:f>
          </x14:formula1>
          <xm:sqref>E3:E39</xm:sqref>
        </x14:dataValidation>
        <x14:dataValidation type="list" allowBlank="1" showInputMessage="1" showErrorMessage="1" xr:uid="{8D546738-619B-4903-8536-2823E55D7C8F}">
          <x14:formula1>
            <xm:f>DATOS!$R$2:$R$3</xm:f>
          </x14:formula1>
          <xm:sqref>N3:P39 R3:U39 W3:X39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089-3CEF-46D3-9F3D-A609BAB2AE0C}">
  <sheetPr>
    <tabColor theme="6" tint="-0.499984740745262"/>
  </sheetPr>
  <dimension ref="A1:AA91"/>
  <sheetViews>
    <sheetView zoomScale="72" workbookViewId="0">
      <pane ySplit="2" topLeftCell="A3" activePane="bottomLeft" state="frozen"/>
      <selection pane="bottomLeft" activeCell="C1" sqref="C1"/>
      <selection activeCell="C1" sqref="C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0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614" t="str">
        <f>RANGO!E9</f>
        <v>DIRECCIÓN DE FINANZAS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6"/>
    </row>
    <row r="2" spans="1:27" ht="27.75">
      <c r="A2" s="124" t="s">
        <v>33</v>
      </c>
      <c r="B2" s="125" t="s">
        <v>34</v>
      </c>
      <c r="C2" s="126" t="s">
        <v>35</v>
      </c>
      <c r="D2" s="126" t="s">
        <v>36</v>
      </c>
      <c r="E2" s="126" t="s">
        <v>37</v>
      </c>
      <c r="F2" s="125" t="s">
        <v>38</v>
      </c>
      <c r="G2" s="125" t="s">
        <v>39</v>
      </c>
      <c r="H2" s="126" t="s">
        <v>40</v>
      </c>
      <c r="I2" s="126" t="s">
        <v>41</v>
      </c>
      <c r="J2" s="126" t="s">
        <v>42</v>
      </c>
      <c r="K2" s="126" t="s">
        <v>43</v>
      </c>
      <c r="L2" s="126" t="s">
        <v>44</v>
      </c>
      <c r="M2" s="126" t="s">
        <v>45</v>
      </c>
      <c r="N2" s="126" t="s">
        <v>46</v>
      </c>
      <c r="O2" s="126" t="s">
        <v>47</v>
      </c>
      <c r="P2" s="126" t="s">
        <v>48</v>
      </c>
      <c r="Q2" s="126" t="s">
        <v>49</v>
      </c>
      <c r="R2" s="126" t="s">
        <v>50</v>
      </c>
      <c r="S2" s="126" t="s">
        <v>51</v>
      </c>
      <c r="T2" s="126" t="s">
        <v>52</v>
      </c>
      <c r="U2" s="126" t="s">
        <v>53</v>
      </c>
      <c r="V2" s="126" t="s">
        <v>54</v>
      </c>
      <c r="W2" s="126" t="s">
        <v>55</v>
      </c>
      <c r="X2" s="126" t="s">
        <v>56</v>
      </c>
      <c r="Y2" s="126" t="s">
        <v>57</v>
      </c>
      <c r="Z2" s="125" t="s">
        <v>58</v>
      </c>
      <c r="AA2" s="127" t="s">
        <v>59</v>
      </c>
    </row>
    <row r="3" spans="1:27">
      <c r="A3" s="128">
        <v>1</v>
      </c>
      <c r="B3" s="129" t="s">
        <v>20</v>
      </c>
      <c r="C3" s="426" t="s">
        <v>588</v>
      </c>
      <c r="D3" s="70" t="s">
        <v>61</v>
      </c>
      <c r="E3" s="70" t="s">
        <v>82</v>
      </c>
      <c r="F3" s="70" t="s">
        <v>83</v>
      </c>
      <c r="G3" s="70" t="s">
        <v>327</v>
      </c>
      <c r="H3" s="70" t="s">
        <v>85</v>
      </c>
      <c r="I3" s="70" t="s">
        <v>228</v>
      </c>
      <c r="J3" s="70" t="s">
        <v>65</v>
      </c>
      <c r="K3" s="70" t="s">
        <v>66</v>
      </c>
      <c r="L3" s="70" t="s">
        <v>194</v>
      </c>
      <c r="M3" s="70" t="s">
        <v>68</v>
      </c>
      <c r="N3" s="70" t="s">
        <v>69</v>
      </c>
      <c r="O3" s="70" t="s">
        <v>90</v>
      </c>
      <c r="P3" s="70" t="s">
        <v>69</v>
      </c>
      <c r="Q3" s="70"/>
      <c r="R3" s="70" t="s">
        <v>195</v>
      </c>
      <c r="S3" s="70" t="s">
        <v>90</v>
      </c>
      <c r="T3" s="70" t="s">
        <v>90</v>
      </c>
      <c r="U3" s="70" t="s">
        <v>69</v>
      </c>
      <c r="V3" s="70"/>
      <c r="W3" s="70" t="s">
        <v>69</v>
      </c>
      <c r="X3" s="70" t="s">
        <v>69</v>
      </c>
      <c r="Y3" s="70" t="s">
        <v>589</v>
      </c>
      <c r="Z3" s="71" t="s">
        <v>73</v>
      </c>
      <c r="AA3" s="84"/>
    </row>
    <row r="4" spans="1:27">
      <c r="A4" s="128">
        <v>2</v>
      </c>
      <c r="B4" s="129" t="s">
        <v>590</v>
      </c>
      <c r="C4" s="482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30" t="s">
        <v>110</v>
      </c>
      <c r="AA4" s="131"/>
    </row>
    <row r="5" spans="1:27">
      <c r="A5" s="128">
        <v>3</v>
      </c>
      <c r="B5" s="129" t="s">
        <v>591</v>
      </c>
      <c r="C5" s="482" t="s">
        <v>592</v>
      </c>
      <c r="D5" s="129" t="s">
        <v>81</v>
      </c>
      <c r="E5" s="129" t="s">
        <v>82</v>
      </c>
      <c r="F5" s="129"/>
      <c r="G5" s="129"/>
      <c r="H5" s="129"/>
      <c r="I5" s="129"/>
      <c r="J5" s="129"/>
      <c r="K5" s="129"/>
      <c r="L5" s="129" t="s">
        <v>121</v>
      </c>
      <c r="M5" s="129" t="s">
        <v>68</v>
      </c>
      <c r="N5" s="129" t="s">
        <v>90</v>
      </c>
      <c r="O5" s="129" t="s">
        <v>90</v>
      </c>
      <c r="P5" s="129" t="s">
        <v>69</v>
      </c>
      <c r="Q5" s="129" t="s">
        <v>70</v>
      </c>
      <c r="R5" s="129" t="s">
        <v>90</v>
      </c>
      <c r="S5" s="129" t="s">
        <v>90</v>
      </c>
      <c r="T5" s="129" t="s">
        <v>90</v>
      </c>
      <c r="U5" s="129" t="s">
        <v>69</v>
      </c>
      <c r="V5" s="129" t="s">
        <v>70</v>
      </c>
      <c r="W5" s="129" t="s">
        <v>69</v>
      </c>
      <c r="X5" s="129" t="s">
        <v>69</v>
      </c>
      <c r="Y5" s="129" t="s">
        <v>593</v>
      </c>
      <c r="Z5" s="130" t="s">
        <v>73</v>
      </c>
      <c r="AA5" s="131"/>
    </row>
    <row r="6" spans="1:27">
      <c r="A6" s="128">
        <v>4</v>
      </c>
      <c r="B6" s="129" t="s">
        <v>594</v>
      </c>
      <c r="C6" s="426" t="s">
        <v>595</v>
      </c>
      <c r="D6" s="129" t="s">
        <v>515</v>
      </c>
      <c r="E6" s="129" t="s">
        <v>82</v>
      </c>
      <c r="F6" s="129" t="s">
        <v>83</v>
      </c>
      <c r="G6" s="129"/>
      <c r="H6" s="129"/>
      <c r="I6" s="129"/>
      <c r="J6" s="129"/>
      <c r="K6" s="129"/>
      <c r="L6" s="129" t="s">
        <v>121</v>
      </c>
      <c r="M6" s="129" t="s">
        <v>68</v>
      </c>
      <c r="N6" s="129" t="s">
        <v>90</v>
      </c>
      <c r="O6" s="129" t="s">
        <v>195</v>
      </c>
      <c r="P6" s="129" t="s">
        <v>69</v>
      </c>
      <c r="Q6" s="129" t="s">
        <v>195</v>
      </c>
      <c r="R6" s="129" t="s">
        <v>195</v>
      </c>
      <c r="S6" s="129" t="s">
        <v>90</v>
      </c>
      <c r="T6" s="129" t="s">
        <v>195</v>
      </c>
      <c r="U6" s="129" t="s">
        <v>596</v>
      </c>
      <c r="V6" s="129" t="s">
        <v>195</v>
      </c>
      <c r="W6" s="129" t="s">
        <v>69</v>
      </c>
      <c r="X6" s="129" t="s">
        <v>69</v>
      </c>
      <c r="Y6" s="129" t="s">
        <v>589</v>
      </c>
      <c r="Z6" s="130" t="s">
        <v>73</v>
      </c>
      <c r="AA6" s="131"/>
    </row>
    <row r="7" spans="1:27">
      <c r="A7" s="128">
        <v>5</v>
      </c>
      <c r="B7" s="129" t="s">
        <v>597</v>
      </c>
      <c r="C7" s="479"/>
      <c r="D7" s="129"/>
      <c r="E7" s="129"/>
      <c r="F7" s="129"/>
      <c r="G7" s="129"/>
      <c r="H7" s="132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30" t="s">
        <v>110</v>
      </c>
      <c r="AA7" s="131"/>
    </row>
    <row r="8" spans="1:27">
      <c r="A8" s="128">
        <v>6</v>
      </c>
      <c r="B8" s="129" t="s">
        <v>598</v>
      </c>
      <c r="C8" s="426" t="s">
        <v>599</v>
      </c>
      <c r="D8" s="129" t="s">
        <v>61</v>
      </c>
      <c r="E8" s="129" t="s">
        <v>82</v>
      </c>
      <c r="F8" s="129" t="s">
        <v>83</v>
      </c>
      <c r="G8" s="129" t="s">
        <v>95</v>
      </c>
      <c r="H8" s="129" t="s">
        <v>600</v>
      </c>
      <c r="I8" s="129" t="s">
        <v>601</v>
      </c>
      <c r="J8" s="129" t="s">
        <v>65</v>
      </c>
      <c r="K8" s="129" t="s">
        <v>66</v>
      </c>
      <c r="L8" s="129" t="s">
        <v>152</v>
      </c>
      <c r="M8" s="129" t="s">
        <v>68</v>
      </c>
      <c r="N8" s="129" t="s">
        <v>90</v>
      </c>
      <c r="O8" s="129" t="s">
        <v>90</v>
      </c>
      <c r="P8" s="129" t="s">
        <v>69</v>
      </c>
      <c r="Q8" s="129" t="s">
        <v>70</v>
      </c>
      <c r="R8" s="129" t="s">
        <v>90</v>
      </c>
      <c r="S8" s="129" t="s">
        <v>90</v>
      </c>
      <c r="T8" s="129" t="s">
        <v>90</v>
      </c>
      <c r="U8" s="129" t="s">
        <v>69</v>
      </c>
      <c r="V8" s="129" t="s">
        <v>70</v>
      </c>
      <c r="W8" s="129" t="s">
        <v>69</v>
      </c>
      <c r="X8" s="129" t="s">
        <v>69</v>
      </c>
      <c r="Y8" s="129" t="s">
        <v>593</v>
      </c>
      <c r="Z8" s="130" t="s">
        <v>73</v>
      </c>
      <c r="AA8" s="131"/>
    </row>
    <row r="9" spans="1:27">
      <c r="A9" s="128">
        <v>7</v>
      </c>
      <c r="B9" s="129" t="s">
        <v>602</v>
      </c>
      <c r="C9" s="426" t="s">
        <v>603</v>
      </c>
      <c r="D9" s="129" t="s">
        <v>61</v>
      </c>
      <c r="E9" s="129" t="s">
        <v>82</v>
      </c>
      <c r="F9" s="129" t="s">
        <v>83</v>
      </c>
      <c r="G9" s="129" t="s">
        <v>95</v>
      </c>
      <c r="H9" s="129" t="s">
        <v>604</v>
      </c>
      <c r="I9" s="129"/>
      <c r="J9" s="129" t="s">
        <v>65</v>
      </c>
      <c r="K9" s="129" t="s">
        <v>66</v>
      </c>
      <c r="L9" s="129" t="s">
        <v>121</v>
      </c>
      <c r="M9" s="129" t="s">
        <v>68</v>
      </c>
      <c r="N9" s="129" t="s">
        <v>90</v>
      </c>
      <c r="O9" s="129" t="s">
        <v>90</v>
      </c>
      <c r="P9" s="129" t="s">
        <v>69</v>
      </c>
      <c r="Q9" s="129" t="s">
        <v>70</v>
      </c>
      <c r="R9" s="129" t="s">
        <v>90</v>
      </c>
      <c r="S9" s="129" t="s">
        <v>90</v>
      </c>
      <c r="T9" s="129" t="s">
        <v>90</v>
      </c>
      <c r="U9" s="129" t="s">
        <v>69</v>
      </c>
      <c r="V9" s="129" t="s">
        <v>70</v>
      </c>
      <c r="W9" s="129" t="s">
        <v>69</v>
      </c>
      <c r="X9" s="129" t="s">
        <v>69</v>
      </c>
      <c r="Y9" s="129" t="s">
        <v>70</v>
      </c>
      <c r="Z9" s="130" t="s">
        <v>73</v>
      </c>
      <c r="AA9" s="131"/>
    </row>
    <row r="10" spans="1:27">
      <c r="A10" s="128">
        <v>8</v>
      </c>
      <c r="B10" s="129" t="s">
        <v>605</v>
      </c>
      <c r="C10" s="429" t="s">
        <v>606</v>
      </c>
      <c r="D10" s="129" t="s">
        <v>92</v>
      </c>
      <c r="E10" s="129" t="s">
        <v>62</v>
      </c>
      <c r="F10" s="129" t="s">
        <v>145</v>
      </c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30" t="s">
        <v>110</v>
      </c>
      <c r="AA10" s="131"/>
    </row>
    <row r="11" spans="1:27">
      <c r="A11" s="128">
        <v>9</v>
      </c>
      <c r="B11" s="129" t="s">
        <v>607</v>
      </c>
      <c r="C11" s="429" t="s">
        <v>608</v>
      </c>
      <c r="D11" s="129" t="s">
        <v>61</v>
      </c>
      <c r="E11" s="129" t="s">
        <v>82</v>
      </c>
      <c r="F11" s="129" t="s">
        <v>83</v>
      </c>
      <c r="G11" s="129" t="s">
        <v>95</v>
      </c>
      <c r="H11" s="129" t="s">
        <v>609</v>
      </c>
      <c r="I11" s="129"/>
      <c r="J11" s="129" t="s">
        <v>65</v>
      </c>
      <c r="K11" s="129" t="s">
        <v>66</v>
      </c>
      <c r="L11" s="129" t="s">
        <v>121</v>
      </c>
      <c r="M11" s="129" t="s">
        <v>68</v>
      </c>
      <c r="N11" s="129" t="s">
        <v>69</v>
      </c>
      <c r="O11" s="129" t="s">
        <v>90</v>
      </c>
      <c r="P11" s="129" t="s">
        <v>90</v>
      </c>
      <c r="Q11" s="129" t="s">
        <v>70</v>
      </c>
      <c r="R11" s="129" t="s">
        <v>90</v>
      </c>
      <c r="S11" s="129" t="s">
        <v>90</v>
      </c>
      <c r="T11" s="129" t="s">
        <v>90</v>
      </c>
      <c r="U11" s="129" t="s">
        <v>69</v>
      </c>
      <c r="V11" s="129" t="s">
        <v>70</v>
      </c>
      <c r="W11" s="129" t="s">
        <v>69</v>
      </c>
      <c r="X11" s="129" t="s">
        <v>69</v>
      </c>
      <c r="Y11" s="129" t="s">
        <v>593</v>
      </c>
      <c r="Z11" s="130" t="s">
        <v>73</v>
      </c>
      <c r="AA11" s="131"/>
    </row>
    <row r="12" spans="1:27">
      <c r="A12" s="128">
        <v>10</v>
      </c>
      <c r="B12" s="129" t="s">
        <v>610</v>
      </c>
      <c r="C12" s="429" t="s">
        <v>611</v>
      </c>
      <c r="D12" s="129" t="s">
        <v>81</v>
      </c>
      <c r="E12" s="129" t="s">
        <v>82</v>
      </c>
      <c r="F12" s="129" t="s">
        <v>83</v>
      </c>
      <c r="G12" s="129" t="s">
        <v>99</v>
      </c>
      <c r="H12" s="129" t="s">
        <v>612</v>
      </c>
      <c r="I12" s="129" t="s">
        <v>613</v>
      </c>
      <c r="J12" s="129" t="s">
        <v>65</v>
      </c>
      <c r="K12" s="129" t="s">
        <v>66</v>
      </c>
      <c r="L12" s="129" t="s">
        <v>121</v>
      </c>
      <c r="M12" s="129" t="s">
        <v>68</v>
      </c>
      <c r="N12" s="129" t="s">
        <v>69</v>
      </c>
      <c r="O12" s="129" t="s">
        <v>90</v>
      </c>
      <c r="P12" s="129" t="s">
        <v>90</v>
      </c>
      <c r="Q12" s="129" t="s">
        <v>70</v>
      </c>
      <c r="R12" s="129" t="s">
        <v>90</v>
      </c>
      <c r="S12" s="129" t="s">
        <v>90</v>
      </c>
      <c r="T12" s="129" t="s">
        <v>90</v>
      </c>
      <c r="U12" s="129" t="s">
        <v>69</v>
      </c>
      <c r="V12" s="129" t="s">
        <v>70</v>
      </c>
      <c r="W12" s="129" t="s">
        <v>69</v>
      </c>
      <c r="X12" s="129" t="s">
        <v>69</v>
      </c>
      <c r="Y12" s="129" t="s">
        <v>593</v>
      </c>
      <c r="Z12" s="130" t="s">
        <v>73</v>
      </c>
      <c r="AA12" s="131"/>
    </row>
    <row r="13" spans="1:27">
      <c r="A13" s="128">
        <v>11</v>
      </c>
      <c r="B13" s="129" t="s">
        <v>614</v>
      </c>
      <c r="C13" s="426" t="s">
        <v>615</v>
      </c>
      <c r="D13" s="129" t="s">
        <v>81</v>
      </c>
      <c r="E13" s="129" t="s">
        <v>82</v>
      </c>
      <c r="F13" s="129" t="s">
        <v>83</v>
      </c>
      <c r="G13" s="129"/>
      <c r="H13" s="129"/>
      <c r="I13" s="129"/>
      <c r="J13" s="129"/>
      <c r="K13" s="129"/>
      <c r="L13" s="129" t="s">
        <v>121</v>
      </c>
      <c r="M13" s="129"/>
      <c r="N13" s="129" t="s">
        <v>69</v>
      </c>
      <c r="O13" s="129" t="s">
        <v>90</v>
      </c>
      <c r="P13" s="129" t="s">
        <v>69</v>
      </c>
      <c r="Q13" s="129" t="s">
        <v>70</v>
      </c>
      <c r="R13" s="129" t="s">
        <v>90</v>
      </c>
      <c r="S13" s="129" t="s">
        <v>70</v>
      </c>
      <c r="T13" s="129" t="s">
        <v>70</v>
      </c>
      <c r="U13" s="129" t="s">
        <v>69</v>
      </c>
      <c r="V13" s="129" t="s">
        <v>70</v>
      </c>
      <c r="W13" s="129" t="s">
        <v>69</v>
      </c>
      <c r="X13" s="129" t="s">
        <v>69</v>
      </c>
      <c r="Y13" s="129" t="s">
        <v>593</v>
      </c>
      <c r="Z13" s="130" t="s">
        <v>73</v>
      </c>
      <c r="AA13" s="131"/>
    </row>
    <row r="14" spans="1:27" s="248" customFormat="1">
      <c r="A14" s="128">
        <v>12</v>
      </c>
      <c r="B14" s="426" t="s">
        <v>616</v>
      </c>
      <c r="C14" s="429" t="s">
        <v>617</v>
      </c>
      <c r="D14" s="129" t="s">
        <v>81</v>
      </c>
      <c r="E14" s="129" t="s">
        <v>82</v>
      </c>
      <c r="F14" s="129" t="s">
        <v>83</v>
      </c>
      <c r="G14" s="129" t="s">
        <v>84</v>
      </c>
      <c r="H14" s="129" t="s">
        <v>618</v>
      </c>
      <c r="I14" s="129" t="s">
        <v>619</v>
      </c>
      <c r="J14" s="129" t="s">
        <v>87</v>
      </c>
      <c r="K14" s="129" t="s">
        <v>66</v>
      </c>
      <c r="L14" s="129" t="s">
        <v>121</v>
      </c>
      <c r="M14" s="129" t="s">
        <v>68</v>
      </c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280" t="s">
        <v>73</v>
      </c>
      <c r="AA14" s="281"/>
    </row>
    <row r="15" spans="1:27" s="248" customFormat="1">
      <c r="A15" s="128">
        <v>13</v>
      </c>
      <c r="B15" s="129" t="s">
        <v>620</v>
      </c>
      <c r="C15" s="482" t="s">
        <v>621</v>
      </c>
      <c r="D15" s="129" t="s">
        <v>81</v>
      </c>
      <c r="E15" s="129" t="s">
        <v>82</v>
      </c>
      <c r="F15" s="129" t="s">
        <v>83</v>
      </c>
      <c r="G15" s="129"/>
      <c r="H15" s="129"/>
      <c r="I15" s="129"/>
      <c r="J15" s="129" t="s">
        <v>65</v>
      </c>
      <c r="K15" s="129" t="s">
        <v>66</v>
      </c>
      <c r="L15" s="129" t="s">
        <v>121</v>
      </c>
      <c r="M15" s="129" t="s">
        <v>68</v>
      </c>
      <c r="N15" s="129" t="s">
        <v>69</v>
      </c>
      <c r="O15" s="129" t="s">
        <v>90</v>
      </c>
      <c r="P15" s="129" t="s">
        <v>69</v>
      </c>
      <c r="Q15" s="129" t="s">
        <v>70</v>
      </c>
      <c r="R15" s="129" t="s">
        <v>70</v>
      </c>
      <c r="S15" s="129" t="s">
        <v>70</v>
      </c>
      <c r="T15" s="129" t="s">
        <v>90</v>
      </c>
      <c r="U15" s="129" t="s">
        <v>69</v>
      </c>
      <c r="V15" s="129" t="s">
        <v>70</v>
      </c>
      <c r="W15" s="129" t="s">
        <v>69</v>
      </c>
      <c r="X15" s="129" t="s">
        <v>69</v>
      </c>
      <c r="Y15" s="129" t="s">
        <v>622</v>
      </c>
      <c r="Z15" s="280" t="s">
        <v>73</v>
      </c>
      <c r="AA15" s="281"/>
    </row>
    <row r="16" spans="1:27">
      <c r="A16" s="128">
        <v>14</v>
      </c>
      <c r="B16" s="129" t="s">
        <v>623</v>
      </c>
      <c r="C16" s="426" t="s">
        <v>624</v>
      </c>
      <c r="D16" s="129" t="s">
        <v>81</v>
      </c>
      <c r="E16" s="129" t="s">
        <v>82</v>
      </c>
      <c r="F16" s="129" t="s">
        <v>83</v>
      </c>
      <c r="G16" s="129" t="s">
        <v>99</v>
      </c>
      <c r="H16" s="129"/>
      <c r="I16" s="129"/>
      <c r="J16" s="129"/>
      <c r="K16" s="129"/>
      <c r="L16" s="129" t="s">
        <v>121</v>
      </c>
      <c r="M16" s="129" t="s">
        <v>68</v>
      </c>
      <c r="N16" s="129" t="s">
        <v>69</v>
      </c>
      <c r="O16" s="129" t="s">
        <v>90</v>
      </c>
      <c r="P16" s="129" t="s">
        <v>69</v>
      </c>
      <c r="Q16" s="129" t="s">
        <v>70</v>
      </c>
      <c r="R16" s="129" t="s">
        <v>90</v>
      </c>
      <c r="S16" s="129" t="s">
        <v>90</v>
      </c>
      <c r="T16" s="129" t="s">
        <v>90</v>
      </c>
      <c r="U16" s="129" t="s">
        <v>69</v>
      </c>
      <c r="V16" s="129" t="s">
        <v>70</v>
      </c>
      <c r="W16" s="129" t="s">
        <v>69</v>
      </c>
      <c r="X16" s="129" t="s">
        <v>69</v>
      </c>
      <c r="Y16" s="129" t="s">
        <v>593</v>
      </c>
      <c r="Z16" s="130" t="s">
        <v>73</v>
      </c>
      <c r="AA16" s="131"/>
    </row>
    <row r="17" spans="1:27">
      <c r="A17" s="128">
        <v>15</v>
      </c>
      <c r="B17" s="129" t="s">
        <v>625</v>
      </c>
      <c r="C17" s="431" t="s">
        <v>626</v>
      </c>
      <c r="D17" s="129" t="s">
        <v>81</v>
      </c>
      <c r="E17" s="129" t="s">
        <v>82</v>
      </c>
      <c r="F17" s="129" t="s">
        <v>83</v>
      </c>
      <c r="G17" s="129" t="s">
        <v>99</v>
      </c>
      <c r="H17" s="129" t="s">
        <v>627</v>
      </c>
      <c r="I17" s="129" t="s">
        <v>628</v>
      </c>
      <c r="J17" s="129" t="s">
        <v>87</v>
      </c>
      <c r="K17" s="129" t="s">
        <v>66</v>
      </c>
      <c r="L17" s="129" t="s">
        <v>121</v>
      </c>
      <c r="M17" s="129" t="s">
        <v>68</v>
      </c>
      <c r="N17" s="129" t="s">
        <v>90</v>
      </c>
      <c r="O17" s="129" t="s">
        <v>90</v>
      </c>
      <c r="P17" s="129" t="s">
        <v>69</v>
      </c>
      <c r="Q17" s="129" t="s">
        <v>70</v>
      </c>
      <c r="R17" s="129" t="s">
        <v>90</v>
      </c>
      <c r="S17" s="129" t="s">
        <v>90</v>
      </c>
      <c r="T17" s="129" t="s">
        <v>90</v>
      </c>
      <c r="U17" s="129" t="s">
        <v>69</v>
      </c>
      <c r="V17" s="129" t="s">
        <v>70</v>
      </c>
      <c r="W17" s="129" t="s">
        <v>69</v>
      </c>
      <c r="X17" s="129" t="s">
        <v>69</v>
      </c>
      <c r="Y17" s="129" t="s">
        <v>629</v>
      </c>
      <c r="Z17" s="130" t="s">
        <v>73</v>
      </c>
      <c r="AA17" s="133"/>
    </row>
    <row r="18" spans="1:27">
      <c r="A18" s="128">
        <v>16</v>
      </c>
      <c r="B18" s="129" t="s">
        <v>630</v>
      </c>
      <c r="C18" s="431" t="s">
        <v>631</v>
      </c>
      <c r="D18" s="129" t="s">
        <v>61</v>
      </c>
      <c r="E18" s="129" t="s">
        <v>82</v>
      </c>
      <c r="F18" s="129" t="s">
        <v>83</v>
      </c>
      <c r="G18" s="129" t="s">
        <v>95</v>
      </c>
      <c r="H18" s="129" t="s">
        <v>632</v>
      </c>
      <c r="I18" s="129" t="s">
        <v>633</v>
      </c>
      <c r="J18" s="129" t="s">
        <v>65</v>
      </c>
      <c r="K18" s="129" t="s">
        <v>66</v>
      </c>
      <c r="L18" s="129" t="s">
        <v>121</v>
      </c>
      <c r="M18" s="129" t="s">
        <v>68</v>
      </c>
      <c r="N18" s="129" t="s">
        <v>90</v>
      </c>
      <c r="O18" s="129" t="s">
        <v>90</v>
      </c>
      <c r="P18" s="129" t="s">
        <v>69</v>
      </c>
      <c r="Q18" s="129" t="s">
        <v>70</v>
      </c>
      <c r="R18" s="129" t="s">
        <v>90</v>
      </c>
      <c r="S18" s="129" t="s">
        <v>90</v>
      </c>
      <c r="T18" s="129" t="s">
        <v>90</v>
      </c>
      <c r="U18" s="129" t="s">
        <v>69</v>
      </c>
      <c r="V18" s="129" t="s">
        <v>70</v>
      </c>
      <c r="W18" s="129" t="s">
        <v>69</v>
      </c>
      <c r="X18" s="129" t="s">
        <v>69</v>
      </c>
      <c r="Y18" s="129" t="s">
        <v>593</v>
      </c>
      <c r="Z18" s="130" t="s">
        <v>73</v>
      </c>
      <c r="AA18" s="133"/>
    </row>
    <row r="19" spans="1:27" s="294" customFormat="1">
      <c r="A19" s="128">
        <v>17</v>
      </c>
      <c r="B19" s="129" t="s">
        <v>634</v>
      </c>
      <c r="C19" s="524" t="s">
        <v>635</v>
      </c>
      <c r="D19" s="129" t="s">
        <v>61</v>
      </c>
      <c r="E19" s="129" t="s">
        <v>82</v>
      </c>
      <c r="F19" s="129" t="s">
        <v>83</v>
      </c>
      <c r="G19" s="129"/>
      <c r="H19" s="129"/>
      <c r="I19" s="129"/>
      <c r="J19" s="129" t="s">
        <v>65</v>
      </c>
      <c r="K19" s="129" t="s">
        <v>66</v>
      </c>
      <c r="L19" s="129" t="s">
        <v>121</v>
      </c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292" t="s">
        <v>73</v>
      </c>
      <c r="AA19" s="293"/>
    </row>
    <row r="20" spans="1:27">
      <c r="A20" s="128">
        <v>18</v>
      </c>
      <c r="B20" s="129" t="s">
        <v>636</v>
      </c>
      <c r="C20" s="481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30" t="s">
        <v>110</v>
      </c>
      <c r="AA20" s="133"/>
    </row>
    <row r="21" spans="1:27">
      <c r="A21" s="128">
        <v>19</v>
      </c>
      <c r="B21" s="129" t="s">
        <v>637</v>
      </c>
      <c r="C21" s="430" t="s">
        <v>638</v>
      </c>
      <c r="D21" s="129" t="s">
        <v>92</v>
      </c>
      <c r="E21" s="129" t="s">
        <v>62</v>
      </c>
      <c r="F21" s="129" t="s">
        <v>188</v>
      </c>
      <c r="G21" s="129"/>
      <c r="H21" s="129"/>
      <c r="I21" s="129"/>
      <c r="J21" s="129"/>
      <c r="K21" s="129"/>
      <c r="L21" s="129" t="s">
        <v>121</v>
      </c>
      <c r="M21" s="129" t="s">
        <v>68</v>
      </c>
      <c r="N21" s="129" t="s">
        <v>69</v>
      </c>
      <c r="O21" s="129" t="s">
        <v>90</v>
      </c>
      <c r="P21" s="129" t="s">
        <v>90</v>
      </c>
      <c r="Q21" s="129" t="s">
        <v>639</v>
      </c>
      <c r="R21" s="129" t="s">
        <v>90</v>
      </c>
      <c r="S21" s="129" t="s">
        <v>90</v>
      </c>
      <c r="T21" s="129" t="s">
        <v>90</v>
      </c>
      <c r="U21" s="129" t="s">
        <v>69</v>
      </c>
      <c r="V21" s="129" t="s">
        <v>195</v>
      </c>
      <c r="W21" s="129" t="s">
        <v>69</v>
      </c>
      <c r="X21" s="129" t="s">
        <v>69</v>
      </c>
      <c r="Y21" s="129" t="s">
        <v>640</v>
      </c>
      <c r="Z21" s="130" t="s">
        <v>73</v>
      </c>
      <c r="AA21" s="133"/>
    </row>
    <row r="22" spans="1:27">
      <c r="A22" s="128">
        <v>20</v>
      </c>
      <c r="B22" s="129" t="s">
        <v>641</v>
      </c>
      <c r="C22" s="481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30" t="s">
        <v>110</v>
      </c>
      <c r="AA22" s="133"/>
    </row>
    <row r="23" spans="1:27">
      <c r="A23" s="128">
        <v>21</v>
      </c>
      <c r="B23" s="129" t="s">
        <v>642</v>
      </c>
      <c r="C23" s="431" t="s">
        <v>643</v>
      </c>
      <c r="D23" s="129" t="s">
        <v>81</v>
      </c>
      <c r="E23" s="129" t="s">
        <v>82</v>
      </c>
      <c r="F23" s="129" t="s">
        <v>83</v>
      </c>
      <c r="G23" s="129" t="s">
        <v>99</v>
      </c>
      <c r="H23" s="129" t="s">
        <v>85</v>
      </c>
      <c r="I23" s="129" t="s">
        <v>644</v>
      </c>
      <c r="J23" s="129" t="s">
        <v>87</v>
      </c>
      <c r="K23" s="129" t="s">
        <v>66</v>
      </c>
      <c r="L23" s="129" t="s">
        <v>121</v>
      </c>
      <c r="M23" s="129" t="s">
        <v>68</v>
      </c>
      <c r="N23" s="129" t="s">
        <v>90</v>
      </c>
      <c r="O23" s="129" t="s">
        <v>90</v>
      </c>
      <c r="P23" s="129" t="s">
        <v>69</v>
      </c>
      <c r="Q23" s="129" t="s">
        <v>70</v>
      </c>
      <c r="R23" s="129" t="s">
        <v>90</v>
      </c>
      <c r="S23" s="129" t="s">
        <v>90</v>
      </c>
      <c r="T23" s="129" t="s">
        <v>90</v>
      </c>
      <c r="U23" s="129" t="s">
        <v>69</v>
      </c>
      <c r="V23" s="129" t="s">
        <v>70</v>
      </c>
      <c r="W23" s="129" t="s">
        <v>69</v>
      </c>
      <c r="X23" s="129" t="s">
        <v>69</v>
      </c>
      <c r="Y23" s="129" t="s">
        <v>593</v>
      </c>
      <c r="Z23" s="130" t="s">
        <v>73</v>
      </c>
      <c r="AA23" s="133"/>
    </row>
    <row r="24" spans="1:27" s="248" customFormat="1">
      <c r="A24" s="128">
        <v>22</v>
      </c>
      <c r="B24" s="129" t="s">
        <v>645</v>
      </c>
      <c r="C24" s="47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280" t="s">
        <v>110</v>
      </c>
      <c r="AA24" s="283"/>
    </row>
    <row r="25" spans="1:27">
      <c r="A25" s="128">
        <v>23</v>
      </c>
      <c r="B25" s="129" t="s">
        <v>646</v>
      </c>
      <c r="C25" s="478" t="s">
        <v>621</v>
      </c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98"/>
      <c r="O25" s="398"/>
      <c r="P25" s="398"/>
      <c r="Q25" s="398"/>
      <c r="R25" s="398"/>
      <c r="S25" s="398"/>
      <c r="T25" s="398"/>
      <c r="U25" s="398"/>
      <c r="V25" s="398"/>
      <c r="W25" s="398"/>
      <c r="X25" s="398"/>
      <c r="Y25" s="398"/>
      <c r="Z25" s="130" t="s">
        <v>110</v>
      </c>
      <c r="AA25" s="133"/>
    </row>
    <row r="26" spans="1:27" s="329" customFormat="1">
      <c r="A26" s="128">
        <v>24</v>
      </c>
      <c r="B26" s="129" t="s">
        <v>647</v>
      </c>
      <c r="C26" s="48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398"/>
      <c r="O26" s="398"/>
      <c r="P26" s="398"/>
      <c r="Q26" s="398"/>
      <c r="R26" s="398"/>
      <c r="S26" s="398"/>
      <c r="T26" s="398"/>
      <c r="U26" s="398"/>
      <c r="V26" s="398"/>
      <c r="W26" s="398"/>
      <c r="X26" s="398"/>
      <c r="Y26" s="398"/>
      <c r="Z26" s="327" t="s">
        <v>110</v>
      </c>
      <c r="AA26" s="328"/>
    </row>
    <row r="27" spans="1:27">
      <c r="A27" s="128">
        <v>25</v>
      </c>
      <c r="B27" s="129" t="s">
        <v>648</v>
      </c>
      <c r="C27" s="481" t="s">
        <v>649</v>
      </c>
      <c r="D27" s="129" t="s">
        <v>61</v>
      </c>
      <c r="E27" s="129" t="s">
        <v>62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30" t="s">
        <v>110</v>
      </c>
      <c r="AA27" s="133"/>
    </row>
    <row r="28" spans="1:27" s="332" customFormat="1">
      <c r="A28" s="354">
        <v>26</v>
      </c>
      <c r="B28" s="353" t="s">
        <v>650</v>
      </c>
      <c r="C28" s="494" t="s">
        <v>651</v>
      </c>
      <c r="D28" s="353" t="s">
        <v>81</v>
      </c>
      <c r="E28" s="353" t="s">
        <v>82</v>
      </c>
      <c r="F28" s="353"/>
      <c r="G28" s="353"/>
      <c r="H28" s="353"/>
      <c r="I28" s="353"/>
      <c r="J28" s="353"/>
      <c r="K28" s="353"/>
      <c r="L28" s="353"/>
      <c r="M28" s="353"/>
      <c r="N28" s="398"/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  <c r="Z28" s="330" t="s">
        <v>110</v>
      </c>
      <c r="AA28" s="331"/>
    </row>
    <row r="29" spans="1:27">
      <c r="A29" s="128">
        <v>27</v>
      </c>
      <c r="B29" s="129" t="s">
        <v>652</v>
      </c>
      <c r="C29" s="481"/>
      <c r="D29" s="129"/>
      <c r="E29" s="129"/>
      <c r="F29" s="129"/>
      <c r="G29" s="129"/>
      <c r="H29" s="129"/>
      <c r="I29" s="129"/>
      <c r="J29" s="355"/>
      <c r="K29" s="355"/>
      <c r="L29" s="355"/>
      <c r="M29" s="355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33" t="s">
        <v>110</v>
      </c>
      <c r="AA29" s="133"/>
    </row>
    <row r="30" spans="1:27" s="285" customFormat="1">
      <c r="A30" s="128">
        <v>28</v>
      </c>
      <c r="B30" s="129" t="s">
        <v>653</v>
      </c>
      <c r="C30" s="431" t="s">
        <v>654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30" t="s">
        <v>110</v>
      </c>
      <c r="AA30" s="133"/>
    </row>
    <row r="31" spans="1:27">
      <c r="A31" s="128">
        <v>29</v>
      </c>
      <c r="B31" s="129" t="s">
        <v>655</v>
      </c>
      <c r="C31" s="481" t="s">
        <v>656</v>
      </c>
      <c r="D31" s="129" t="s">
        <v>92</v>
      </c>
      <c r="E31" s="129" t="s">
        <v>62</v>
      </c>
      <c r="F31" s="129" t="s">
        <v>138</v>
      </c>
      <c r="G31" s="129"/>
      <c r="H31" s="129"/>
      <c r="I31" s="129"/>
      <c r="J31" s="129"/>
      <c r="K31" s="129"/>
      <c r="L31" s="129"/>
      <c r="M31" s="129"/>
      <c r="N31" s="129" t="s">
        <v>69</v>
      </c>
      <c r="O31" s="129" t="s">
        <v>69</v>
      </c>
      <c r="P31" s="129" t="s">
        <v>69</v>
      </c>
      <c r="Q31" s="129" t="s">
        <v>69</v>
      </c>
      <c r="R31" s="129" t="s">
        <v>69</v>
      </c>
      <c r="S31" s="129" t="s">
        <v>69</v>
      </c>
      <c r="T31" s="129" t="s">
        <v>69</v>
      </c>
      <c r="U31" s="129" t="s">
        <v>69</v>
      </c>
      <c r="V31" s="129" t="s">
        <v>69</v>
      </c>
      <c r="W31" s="129" t="s">
        <v>69</v>
      </c>
      <c r="X31" s="129" t="s">
        <v>69</v>
      </c>
      <c r="Y31" s="129" t="s">
        <v>69</v>
      </c>
      <c r="Z31" s="130" t="s">
        <v>73</v>
      </c>
      <c r="AA31" s="133" t="s">
        <v>657</v>
      </c>
    </row>
    <row r="32" spans="1:27">
      <c r="A32" s="128">
        <v>30</v>
      </c>
      <c r="B32" s="129" t="s">
        <v>658</v>
      </c>
      <c r="C32" s="479"/>
      <c r="D32" s="129"/>
      <c r="E32" s="129"/>
      <c r="F32" s="355"/>
      <c r="G32" s="355"/>
      <c r="H32" s="355"/>
      <c r="I32" s="355"/>
      <c r="J32" s="355"/>
      <c r="K32" s="355"/>
      <c r="L32" s="355"/>
      <c r="M32" s="355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33" t="s">
        <v>110</v>
      </c>
      <c r="AA32" s="133"/>
    </row>
    <row r="33" spans="1:27">
      <c r="A33" s="128">
        <v>31</v>
      </c>
      <c r="B33" s="129" t="s">
        <v>659</v>
      </c>
      <c r="C33" s="481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30" t="s">
        <v>110</v>
      </c>
      <c r="AA33" s="133"/>
    </row>
    <row r="34" spans="1:27">
      <c r="A34" s="128">
        <v>32</v>
      </c>
      <c r="B34" s="129" t="s">
        <v>660</v>
      </c>
      <c r="C34" s="481" t="s">
        <v>656</v>
      </c>
      <c r="D34" s="129" t="s">
        <v>61</v>
      </c>
      <c r="E34" s="129" t="s">
        <v>82</v>
      </c>
      <c r="F34" s="129" t="s">
        <v>83</v>
      </c>
      <c r="G34" s="129"/>
      <c r="H34" s="129"/>
      <c r="I34" s="129"/>
      <c r="J34" s="129"/>
      <c r="K34" s="129"/>
      <c r="L34" s="129" t="s">
        <v>246</v>
      </c>
      <c r="M34" s="129" t="s">
        <v>68</v>
      </c>
      <c r="N34" s="129" t="s">
        <v>69</v>
      </c>
      <c r="O34" s="129" t="s">
        <v>69</v>
      </c>
      <c r="P34" s="129" t="s">
        <v>69</v>
      </c>
      <c r="Q34" s="129" t="s">
        <v>69</v>
      </c>
      <c r="R34" s="129" t="s">
        <v>69</v>
      </c>
      <c r="S34" s="129" t="s">
        <v>69</v>
      </c>
      <c r="T34" s="129" t="s">
        <v>69</v>
      </c>
      <c r="U34" s="129" t="s">
        <v>69</v>
      </c>
      <c r="V34" s="129" t="s">
        <v>69</v>
      </c>
      <c r="W34" s="129" t="s">
        <v>69</v>
      </c>
      <c r="X34" s="129" t="s">
        <v>69</v>
      </c>
      <c r="Y34" s="129" t="s">
        <v>69</v>
      </c>
      <c r="Z34" s="130" t="s">
        <v>73</v>
      </c>
      <c r="AA34" s="133" t="s">
        <v>657</v>
      </c>
    </row>
    <row r="35" spans="1:27">
      <c r="A35" s="128">
        <v>33</v>
      </c>
      <c r="B35" s="129" t="s">
        <v>661</v>
      </c>
      <c r="C35" s="482" t="s">
        <v>662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30" t="s">
        <v>73</v>
      </c>
      <c r="AA35" s="133"/>
    </row>
    <row r="36" spans="1:27">
      <c r="A36" s="356">
        <v>34</v>
      </c>
      <c r="B36" s="355" t="s">
        <v>21</v>
      </c>
      <c r="C36" s="256" t="s">
        <v>663</v>
      </c>
      <c r="D36" s="129" t="s">
        <v>92</v>
      </c>
      <c r="E36" s="129" t="s">
        <v>62</v>
      </c>
      <c r="F36" s="355" t="s">
        <v>138</v>
      </c>
      <c r="G36" s="355" t="s">
        <v>664</v>
      </c>
      <c r="H36" s="355"/>
      <c r="I36" s="355"/>
      <c r="J36" s="355"/>
      <c r="K36" s="355"/>
      <c r="L36" s="355"/>
      <c r="M36" s="355"/>
      <c r="N36" s="398" t="s">
        <v>69</v>
      </c>
      <c r="O36" s="398" t="s">
        <v>69</v>
      </c>
      <c r="P36" s="398" t="s">
        <v>69</v>
      </c>
      <c r="Q36" s="398" t="s">
        <v>69</v>
      </c>
      <c r="R36" s="398" t="s">
        <v>69</v>
      </c>
      <c r="S36" s="398" t="s">
        <v>69</v>
      </c>
      <c r="T36" s="398" t="s">
        <v>69</v>
      </c>
      <c r="U36" s="398" t="s">
        <v>69</v>
      </c>
      <c r="V36" s="398" t="s">
        <v>69</v>
      </c>
      <c r="W36" s="398" t="s">
        <v>69</v>
      </c>
      <c r="X36" s="398" t="s">
        <v>69</v>
      </c>
      <c r="Y36" s="398" t="s">
        <v>69</v>
      </c>
      <c r="Z36" s="333" t="s">
        <v>73</v>
      </c>
      <c r="AA36" s="334" t="s">
        <v>657</v>
      </c>
    </row>
    <row r="38" spans="1:27">
      <c r="D38" s="554" t="s">
        <v>122</v>
      </c>
      <c r="E38" s="50" t="s">
        <v>123</v>
      </c>
      <c r="F38" s="51" t="s">
        <v>124</v>
      </c>
      <c r="G38" s="52" t="s">
        <v>125</v>
      </c>
      <c r="H38" s="53" t="s">
        <v>126</v>
      </c>
      <c r="J38" s="554" t="s">
        <v>122</v>
      </c>
      <c r="K38" s="556" t="s">
        <v>127</v>
      </c>
      <c r="L38" s="556"/>
      <c r="M38" s="556" t="s">
        <v>128</v>
      </c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8"/>
    </row>
    <row r="39" spans="1:27">
      <c r="D39" s="555"/>
      <c r="E39" s="54">
        <f>COUNTIF($Z$3:$Z$36,DATOS!O2)</f>
        <v>14</v>
      </c>
      <c r="F39" s="54">
        <f>COUNTIF($Z$3:$Z$36,DATOS!O3)</f>
        <v>20</v>
      </c>
      <c r="G39" s="54">
        <f>COUNTIF($Z$3:$Z$36,DATOS!O4)</f>
        <v>0</v>
      </c>
      <c r="H39" s="55">
        <f>SUM(E39:G39)</f>
        <v>34</v>
      </c>
      <c r="J39" s="555"/>
      <c r="K39" s="559">
        <f>COUNTIF(M3:$M$36,DATOS!Q2)</f>
        <v>15</v>
      </c>
      <c r="L39" s="559"/>
      <c r="M39" s="559">
        <f>COUNTIF($M3:$M$36,DATOS!Q3)</f>
        <v>0</v>
      </c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1"/>
    </row>
    <row r="41" spans="1:27" ht="27.75">
      <c r="D41" s="549" t="s">
        <v>129</v>
      </c>
      <c r="E41" s="56" t="str">
        <f>DATOS!G2</f>
        <v>INALÁMBRICO</v>
      </c>
      <c r="F41" s="56" t="str">
        <f>DATOS!G3</f>
        <v>ALÁMBRICO</v>
      </c>
      <c r="G41" s="57" t="str">
        <f>DATOS!G4</f>
        <v>ALÁMBRICO/INALÁMBRICO</v>
      </c>
      <c r="J41" s="538" t="s">
        <v>130</v>
      </c>
      <c r="K41" s="539"/>
      <c r="L41" s="539"/>
      <c r="M41" s="539"/>
      <c r="N41" s="539"/>
      <c r="O41" s="539"/>
      <c r="P41" s="539"/>
      <c r="Q41" s="539"/>
      <c r="R41" s="539"/>
      <c r="S41" s="539"/>
      <c r="T41" s="539"/>
      <c r="U41" s="539"/>
      <c r="V41" s="539"/>
      <c r="W41" s="539"/>
      <c r="X41" s="539"/>
      <c r="Y41" s="539"/>
      <c r="Z41" s="540"/>
    </row>
    <row r="42" spans="1:27">
      <c r="D42" s="550"/>
      <c r="E42" s="58">
        <f>COUNTIF(J3:$J$36,DATOS!G2)</f>
        <v>8</v>
      </c>
      <c r="F42" s="58">
        <f>COUNTIF(J3:J36,DATOS!G3)</f>
        <v>3</v>
      </c>
      <c r="G42" s="59">
        <f>COUNTIF($J3:$J$36,DATOS!G4)</f>
        <v>0</v>
      </c>
    </row>
    <row r="91" ht="35.25" customHeight="1"/>
  </sheetData>
  <mergeCells count="9">
    <mergeCell ref="D41:D42"/>
    <mergeCell ref="J41:Z41"/>
    <mergeCell ref="A1:AA1"/>
    <mergeCell ref="D38:D39"/>
    <mergeCell ref="J38:J39"/>
    <mergeCell ref="K38:L38"/>
    <mergeCell ref="M38:Z38"/>
    <mergeCell ref="K39:L39"/>
    <mergeCell ref="M39:Z39"/>
  </mergeCells>
  <dataValidations count="1">
    <dataValidation allowBlank="1" showInputMessage="1" showErrorMessage="1" sqref="Q35 Y35 Q32:Q33 V32:V33 V35 Q3:Q30 Y3:Y30 Y32:Y33 V3:V30" xr:uid="{448BA2B9-519E-4FEF-852C-311BD16D3AA6}"/>
  </dataValidations>
  <hyperlinks>
    <hyperlink ref="J41" location="RANGO!A1" display="REGRESAR A LA PESTALLA PRINCIPAL" xr:uid="{C50758CF-C850-4784-ABAC-582A6BB4A23F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E5BEAC-5555-4DAE-9A4C-B15BEC193259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DD348A44-2EA5-4548-9F0A-EEA0A767B6BB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E6FF56A4-B39C-4AA4-B465-1DF61C1595EB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EA843EA-DF76-4965-AB34-D5CCE2C44482}">
          <x14:formula1>
            <xm:f>DATOS!$M$2:$M$3</xm:f>
          </x14:formula1>
          <xm:sqref>E3:E36</xm:sqref>
        </x14:dataValidation>
        <x14:dataValidation type="list" allowBlank="1" showInputMessage="1" showErrorMessage="1" xr:uid="{552EE8B9-83A6-41A0-B6D5-319C39C2AD81}">
          <x14:formula1>
            <xm:f>DATOS!$K$2:$K$13</xm:f>
          </x14:formula1>
          <xm:sqref>F3:F36</xm:sqref>
        </x14:dataValidation>
        <x14:dataValidation type="list" allowBlank="1" showInputMessage="1" showErrorMessage="1" xr:uid="{31D0D158-F49B-4CBF-8F9A-AE43A6768B6C}">
          <x14:formula1>
            <xm:f>DATOS!$G$2:$G$4</xm:f>
          </x14:formula1>
          <xm:sqref>J3:J36</xm:sqref>
        </x14:dataValidation>
        <x14:dataValidation type="list" allowBlank="1" showInputMessage="1" showErrorMessage="1" xr:uid="{B0DF243D-B6C1-450F-BF47-09D9CFA60743}">
          <x14:formula1>
            <xm:f>DATOS!$I$2:$I$3</xm:f>
          </x14:formula1>
          <xm:sqref>K3:K36</xm:sqref>
        </x14:dataValidation>
        <x14:dataValidation type="list" allowBlank="1" showInputMessage="1" showErrorMessage="1" xr:uid="{A0E51C7A-CCCF-4838-86CF-E3D1EF12C8A0}">
          <x14:formula1>
            <xm:f>DATOS!$C$2:$C$13</xm:f>
          </x14:formula1>
          <xm:sqref>L3:L36</xm:sqref>
        </x14:dataValidation>
        <x14:dataValidation type="list" allowBlank="1" showInputMessage="1" showErrorMessage="1" xr:uid="{1418C6B9-FD24-4EE7-8242-2F89C7F02188}">
          <x14:formula1>
            <xm:f>DATOS!$O$2:$O$4</xm:f>
          </x14:formula1>
          <xm:sqref>Z3:Z36</xm:sqref>
        </x14:dataValidation>
        <x14:dataValidation type="list" allowBlank="1" showInputMessage="1" showErrorMessage="1" xr:uid="{63A9614A-6C76-4D21-BF4A-4858587EA2F6}">
          <x14:formula1>
            <xm:f>DATOS!$E$2:$E$7</xm:f>
          </x14:formula1>
          <xm:sqref>D3:D36</xm:sqref>
        </x14:dataValidation>
        <x14:dataValidation type="list" allowBlank="1" showInputMessage="1" showErrorMessage="1" xr:uid="{60F16707-1DE8-4D5B-935F-639EBE9C6850}">
          <x14:formula1>
            <xm:f>DATOS!$Q$2:$Q$3</xm:f>
          </x14:formula1>
          <xm:sqref>M3:M36</xm:sqref>
        </x14:dataValidation>
        <x14:dataValidation type="list" allowBlank="1" showInputMessage="1" showErrorMessage="1" xr:uid="{F43C6629-4603-4F0F-A576-90EC1E36901D}">
          <x14:formula1>
            <xm:f>DATOS!$R$2:$R$3</xm:f>
          </x14:formula1>
          <xm:sqref>O35:P35 W35:X35 R3:U30 O36:Y36 O32:P33 R32:U33 O34:Y34 R35:U35 O4:P30 W3:X30 O31:Y31 W32:X33 N4:N36 N3:P3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5E2-12FE-406E-882B-568C385EBB9C}">
  <sheetPr>
    <tabColor theme="5" tint="-0.499984740745262"/>
    <pageSetUpPr fitToPage="1"/>
  </sheetPr>
  <dimension ref="A1:AHG91"/>
  <sheetViews>
    <sheetView tabSelected="1" topLeftCell="V45" workbookViewId="0">
      <selection activeCell="AE51" sqref="AE5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6.42578125" style="1" bestFit="1" customWidth="1"/>
    <col min="13" max="13" width="14.140625" style="1" customWidth="1"/>
    <col min="14" max="14" width="10.7109375" style="1" customWidth="1"/>
    <col min="15" max="15" width="9.28515625" style="1" customWidth="1"/>
    <col min="16" max="16" width="9.7109375" style="1" customWidth="1"/>
    <col min="17" max="17" width="13.5703125" style="1" customWidth="1"/>
    <col min="18" max="18" width="12.42578125" style="1" customWidth="1"/>
    <col min="19" max="19" width="8.7109375" style="1" customWidth="1"/>
    <col min="20" max="20" width="12.85546875" style="1" customWidth="1"/>
    <col min="21" max="22" width="13" style="1" customWidth="1"/>
    <col min="23" max="23" width="20.42578125" style="1" customWidth="1"/>
    <col min="24" max="24" width="12.5703125" style="1" customWidth="1"/>
    <col min="25" max="25" width="20.85546875" style="1" customWidth="1"/>
    <col min="26" max="26" width="13.7109375" style="1" customWidth="1"/>
    <col min="27" max="27" width="49.28515625" style="1" customWidth="1"/>
    <col min="28" max="16384" width="11.42578125" style="1"/>
  </cols>
  <sheetData>
    <row r="1" spans="1:891" ht="21">
      <c r="A1" s="617" t="str">
        <f>RANGO!E10</f>
        <v>DIRECCIÓN DE RECURSOS HUMANOS Y MATERIALES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</row>
    <row r="2" spans="1:891" ht="27.75">
      <c r="A2" s="204" t="s">
        <v>33</v>
      </c>
      <c r="B2" s="205" t="s">
        <v>34</v>
      </c>
      <c r="C2" s="206" t="s">
        <v>35</v>
      </c>
      <c r="D2" s="206" t="s">
        <v>36</v>
      </c>
      <c r="E2" s="206" t="s">
        <v>37</v>
      </c>
      <c r="F2" s="205" t="s">
        <v>38</v>
      </c>
      <c r="G2" s="295" t="s">
        <v>39</v>
      </c>
      <c r="H2" s="206" t="s">
        <v>40</v>
      </c>
      <c r="I2" s="206" t="s">
        <v>41</v>
      </c>
      <c r="J2" s="206" t="s">
        <v>42</v>
      </c>
      <c r="K2" s="206" t="s">
        <v>43</v>
      </c>
      <c r="L2" s="206" t="s">
        <v>44</v>
      </c>
      <c r="M2" s="206" t="s">
        <v>45</v>
      </c>
      <c r="N2" s="206" t="s">
        <v>46</v>
      </c>
      <c r="O2" s="206" t="s">
        <v>47</v>
      </c>
      <c r="P2" s="206" t="s">
        <v>48</v>
      </c>
      <c r="Q2" s="206" t="s">
        <v>49</v>
      </c>
      <c r="R2" s="206" t="s">
        <v>50</v>
      </c>
      <c r="S2" s="206" t="s">
        <v>51</v>
      </c>
      <c r="T2" s="206" t="s">
        <v>52</v>
      </c>
      <c r="U2" s="206" t="s">
        <v>53</v>
      </c>
      <c r="V2" s="206" t="s">
        <v>54</v>
      </c>
      <c r="W2" s="206" t="s">
        <v>55</v>
      </c>
      <c r="X2" s="206" t="s">
        <v>56</v>
      </c>
      <c r="Y2" s="206" t="s">
        <v>57</v>
      </c>
      <c r="Z2" s="205" t="s">
        <v>58</v>
      </c>
      <c r="AA2" s="207" t="s">
        <v>59</v>
      </c>
    </row>
    <row r="3" spans="1:891">
      <c r="A3" s="414">
        <v>1</v>
      </c>
      <c r="B3" s="415" t="s">
        <v>22</v>
      </c>
      <c r="C3" s="442" t="s">
        <v>665</v>
      </c>
      <c r="D3" s="415" t="s">
        <v>92</v>
      </c>
      <c r="E3" s="415" t="s">
        <v>666</v>
      </c>
      <c r="F3" s="415" t="s">
        <v>188</v>
      </c>
      <c r="G3" s="415" t="s">
        <v>667</v>
      </c>
      <c r="H3" s="415" t="s">
        <v>668</v>
      </c>
      <c r="I3" s="415"/>
      <c r="J3" s="415" t="s">
        <v>65</v>
      </c>
      <c r="K3" s="415" t="s">
        <v>66</v>
      </c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6" t="s">
        <v>669</v>
      </c>
      <c r="AA3" s="417" t="s">
        <v>670</v>
      </c>
    </row>
    <row r="4" spans="1:891" s="413" customFormat="1">
      <c r="A4" s="412">
        <v>2</v>
      </c>
      <c r="B4" s="307" t="s">
        <v>671</v>
      </c>
      <c r="C4" s="444" t="s">
        <v>672</v>
      </c>
      <c r="D4" s="282" t="s">
        <v>81</v>
      </c>
      <c r="E4" s="282" t="s">
        <v>673</v>
      </c>
      <c r="F4" s="282"/>
      <c r="G4" s="282"/>
      <c r="H4" s="282"/>
      <c r="I4" s="282"/>
      <c r="J4" s="282"/>
      <c r="K4" s="282"/>
      <c r="L4" s="282" t="s">
        <v>67</v>
      </c>
      <c r="M4" s="307"/>
      <c r="N4" s="307" t="s">
        <v>70</v>
      </c>
      <c r="O4" s="307" t="s">
        <v>70</v>
      </c>
      <c r="P4" s="307" t="s">
        <v>70</v>
      </c>
      <c r="Q4" s="307" t="s">
        <v>70</v>
      </c>
      <c r="R4" s="307" t="s">
        <v>70</v>
      </c>
      <c r="S4" s="307" t="s">
        <v>70</v>
      </c>
      <c r="T4" s="307" t="s">
        <v>70</v>
      </c>
      <c r="U4" s="307" t="s">
        <v>674</v>
      </c>
      <c r="V4" s="307" t="s">
        <v>70</v>
      </c>
      <c r="W4" s="307" t="s">
        <v>674</v>
      </c>
      <c r="X4" s="307" t="s">
        <v>70</v>
      </c>
      <c r="Y4" s="307" t="s">
        <v>70</v>
      </c>
      <c r="Z4" s="411" t="s">
        <v>73</v>
      </c>
      <c r="AA4" s="28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421"/>
    </row>
    <row r="5" spans="1:891" s="290" customFormat="1">
      <c r="A5" s="409">
        <v>3</v>
      </c>
      <c r="B5" s="410" t="s">
        <v>675</v>
      </c>
      <c r="D5" s="408" t="s">
        <v>515</v>
      </c>
      <c r="E5" s="408" t="s">
        <v>673</v>
      </c>
      <c r="F5" s="408"/>
      <c r="G5" s="408"/>
      <c r="H5" s="408"/>
      <c r="I5" s="408"/>
      <c r="J5" s="408"/>
      <c r="K5" s="408"/>
      <c r="L5" s="408"/>
      <c r="M5" s="408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11" t="s">
        <v>110</v>
      </c>
      <c r="AA5" s="307"/>
    </row>
    <row r="6" spans="1:891">
      <c r="A6" s="419">
        <v>4</v>
      </c>
      <c r="B6" s="418" t="s">
        <v>676</v>
      </c>
      <c r="C6" s="497" t="s">
        <v>677</v>
      </c>
      <c r="D6" s="418" t="s">
        <v>61</v>
      </c>
      <c r="E6" s="418" t="s">
        <v>62</v>
      </c>
      <c r="F6" s="418" t="s">
        <v>83</v>
      </c>
      <c r="G6" s="418" t="s">
        <v>84</v>
      </c>
      <c r="H6" s="418" t="s">
        <v>85</v>
      </c>
      <c r="I6" s="418" t="s">
        <v>678</v>
      </c>
      <c r="J6" s="418" t="s">
        <v>65</v>
      </c>
      <c r="K6" s="418" t="s">
        <v>66</v>
      </c>
      <c r="L6" s="418" t="s">
        <v>67</v>
      </c>
      <c r="M6" s="423" t="s">
        <v>68</v>
      </c>
      <c r="N6" s="282"/>
      <c r="O6" s="282"/>
      <c r="P6" s="282"/>
      <c r="Q6" s="282"/>
      <c r="R6" s="282"/>
      <c r="S6" s="282"/>
      <c r="T6" s="282"/>
      <c r="U6" s="282"/>
      <c r="V6" s="282"/>
      <c r="W6" s="422"/>
      <c r="X6" s="282"/>
      <c r="Y6" s="282"/>
      <c r="Z6" s="425" t="s">
        <v>73</v>
      </c>
      <c r="AA6" s="420"/>
    </row>
    <row r="7" spans="1:891" s="290" customFormat="1">
      <c r="A7" s="335">
        <v>5</v>
      </c>
      <c r="B7" s="336" t="s">
        <v>679</v>
      </c>
      <c r="C7" s="437" t="s">
        <v>680</v>
      </c>
      <c r="D7" s="336" t="s">
        <v>61</v>
      </c>
      <c r="E7" s="336" t="s">
        <v>82</v>
      </c>
      <c r="F7" s="336" t="s">
        <v>83</v>
      </c>
      <c r="G7" s="336" t="s">
        <v>95</v>
      </c>
      <c r="H7" s="336" t="s">
        <v>85</v>
      </c>
      <c r="I7" s="336" t="s">
        <v>681</v>
      </c>
      <c r="J7" s="336" t="s">
        <v>65</v>
      </c>
      <c r="K7" s="336" t="s">
        <v>66</v>
      </c>
      <c r="L7" s="336" t="s">
        <v>67</v>
      </c>
      <c r="M7" s="336" t="s">
        <v>68</v>
      </c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337" t="s">
        <v>73</v>
      </c>
      <c r="AA7" s="338" t="s">
        <v>160</v>
      </c>
    </row>
    <row r="8" spans="1:891">
      <c r="A8" s="208">
        <v>6</v>
      </c>
      <c r="B8" s="209" t="s">
        <v>682</v>
      </c>
      <c r="C8" s="440" t="s">
        <v>683</v>
      </c>
      <c r="D8" s="209" t="s">
        <v>61</v>
      </c>
      <c r="E8" s="209" t="s">
        <v>62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10" t="s">
        <v>110</v>
      </c>
      <c r="AA8" s="211"/>
    </row>
    <row r="9" spans="1:891">
      <c r="A9" s="208">
        <v>7</v>
      </c>
      <c r="B9" s="209" t="s">
        <v>684</v>
      </c>
      <c r="C9" s="437" t="s">
        <v>685</v>
      </c>
      <c r="D9" s="209" t="s">
        <v>92</v>
      </c>
      <c r="E9" s="209" t="s">
        <v>62</v>
      </c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10" t="s">
        <v>73</v>
      </c>
      <c r="AA9" s="211"/>
    </row>
    <row r="10" spans="1:891">
      <c r="A10" s="208">
        <v>8</v>
      </c>
      <c r="B10" s="209" t="s">
        <v>686</v>
      </c>
      <c r="C10" s="495" t="s">
        <v>687</v>
      </c>
      <c r="D10" s="209" t="s">
        <v>61</v>
      </c>
      <c r="E10" s="209" t="s">
        <v>82</v>
      </c>
      <c r="F10" s="209" t="s">
        <v>83</v>
      </c>
      <c r="G10" s="209" t="s">
        <v>95</v>
      </c>
      <c r="H10" s="209" t="s">
        <v>85</v>
      </c>
      <c r="I10" s="209" t="s">
        <v>688</v>
      </c>
      <c r="J10" s="209" t="s">
        <v>65</v>
      </c>
      <c r="K10" s="209" t="s">
        <v>66</v>
      </c>
      <c r="L10" s="209" t="s">
        <v>67</v>
      </c>
      <c r="M10" s="209" t="s">
        <v>68</v>
      </c>
      <c r="N10" s="209" t="s">
        <v>69</v>
      </c>
      <c r="O10" s="209"/>
      <c r="P10" s="209" t="s">
        <v>69</v>
      </c>
      <c r="Q10" s="209"/>
      <c r="R10" s="209" t="s">
        <v>69</v>
      </c>
      <c r="S10" s="209" t="s">
        <v>90</v>
      </c>
      <c r="T10" s="209" t="s">
        <v>90</v>
      </c>
      <c r="U10" s="209" t="s">
        <v>69</v>
      </c>
      <c r="V10" s="209" t="s">
        <v>90</v>
      </c>
      <c r="W10" s="209" t="s">
        <v>69</v>
      </c>
      <c r="X10" s="209" t="s">
        <v>69</v>
      </c>
      <c r="Y10" s="209"/>
      <c r="Z10" s="210" t="s">
        <v>73</v>
      </c>
      <c r="AA10" s="211"/>
    </row>
    <row r="11" spans="1:891">
      <c r="A11" s="208">
        <v>9</v>
      </c>
      <c r="B11" s="209" t="s">
        <v>689</v>
      </c>
      <c r="C11" s="440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10" t="s">
        <v>110</v>
      </c>
      <c r="AA11" s="211"/>
    </row>
    <row r="12" spans="1:891">
      <c r="A12" s="208">
        <v>10</v>
      </c>
      <c r="B12" s="209" t="s">
        <v>690</v>
      </c>
      <c r="C12" s="437" t="s">
        <v>677</v>
      </c>
      <c r="D12" s="209" t="s">
        <v>81</v>
      </c>
      <c r="E12" s="209" t="s">
        <v>82</v>
      </c>
      <c r="F12" s="209"/>
      <c r="G12" s="209"/>
      <c r="H12" s="209"/>
      <c r="I12" s="209"/>
      <c r="J12" s="209"/>
      <c r="K12" s="209"/>
      <c r="L12" s="209"/>
      <c r="M12" s="209"/>
      <c r="N12" s="209" t="s">
        <v>69</v>
      </c>
      <c r="O12" s="209" t="s">
        <v>90</v>
      </c>
      <c r="P12" s="209" t="s">
        <v>69</v>
      </c>
      <c r="Q12" s="209" t="s">
        <v>195</v>
      </c>
      <c r="R12" s="209" t="s">
        <v>69</v>
      </c>
      <c r="S12" s="209" t="s">
        <v>90</v>
      </c>
      <c r="T12" s="209" t="s">
        <v>69</v>
      </c>
      <c r="U12" s="209" t="s">
        <v>69</v>
      </c>
      <c r="V12" s="209" t="s">
        <v>90</v>
      </c>
      <c r="W12" s="209" t="s">
        <v>69</v>
      </c>
      <c r="X12" s="209" t="s">
        <v>69</v>
      </c>
      <c r="Y12" s="209" t="s">
        <v>691</v>
      </c>
      <c r="Z12" s="210" t="s">
        <v>110</v>
      </c>
      <c r="AA12" s="211"/>
    </row>
    <row r="13" spans="1:891" s="290" customFormat="1">
      <c r="A13" s="335">
        <v>11</v>
      </c>
      <c r="B13" s="336" t="s">
        <v>692</v>
      </c>
      <c r="C13" s="440" t="s">
        <v>693</v>
      </c>
      <c r="D13" s="336" t="s">
        <v>61</v>
      </c>
      <c r="E13" s="336" t="s">
        <v>62</v>
      </c>
      <c r="F13" s="336" t="s">
        <v>151</v>
      </c>
      <c r="G13" s="336"/>
      <c r="H13" s="337"/>
      <c r="I13" s="337"/>
      <c r="J13" s="336" t="s">
        <v>65</v>
      </c>
      <c r="K13" s="336" t="s">
        <v>66</v>
      </c>
      <c r="L13" s="336" t="s">
        <v>67</v>
      </c>
      <c r="M13" s="336" t="s">
        <v>68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337" t="s">
        <v>73</v>
      </c>
      <c r="AA13" s="338"/>
    </row>
    <row r="14" spans="1:891">
      <c r="A14" s="208">
        <v>12</v>
      </c>
      <c r="B14" s="209" t="s">
        <v>694</v>
      </c>
      <c r="C14" s="495" t="s">
        <v>695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10" t="s">
        <v>110</v>
      </c>
      <c r="AA14" s="211"/>
    </row>
    <row r="15" spans="1:891">
      <c r="A15" s="208">
        <v>13</v>
      </c>
      <c r="B15" s="209" t="s">
        <v>696</v>
      </c>
      <c r="C15" s="495" t="s">
        <v>697</v>
      </c>
      <c r="D15" s="209" t="s">
        <v>81</v>
      </c>
      <c r="E15" s="209" t="s">
        <v>82</v>
      </c>
      <c r="F15" s="209" t="s">
        <v>83</v>
      </c>
      <c r="G15" s="209" t="s">
        <v>84</v>
      </c>
      <c r="H15" s="209" t="s">
        <v>85</v>
      </c>
      <c r="I15" s="209" t="s">
        <v>698</v>
      </c>
      <c r="J15" s="209" t="s">
        <v>65</v>
      </c>
      <c r="K15" s="209" t="s">
        <v>66</v>
      </c>
      <c r="L15" s="209" t="s">
        <v>67</v>
      </c>
      <c r="M15" s="209" t="s">
        <v>68</v>
      </c>
      <c r="N15" s="209" t="s">
        <v>69</v>
      </c>
      <c r="O15" s="209" t="s">
        <v>90</v>
      </c>
      <c r="P15" s="209" t="s">
        <v>90</v>
      </c>
      <c r="Q15" s="209" t="s">
        <v>195</v>
      </c>
      <c r="R15" s="209" t="s">
        <v>90</v>
      </c>
      <c r="S15" s="209" t="s">
        <v>90</v>
      </c>
      <c r="T15" s="209" t="s">
        <v>90</v>
      </c>
      <c r="U15" s="209" t="s">
        <v>69</v>
      </c>
      <c r="V15" s="209" t="s">
        <v>90</v>
      </c>
      <c r="W15" s="209" t="s">
        <v>69</v>
      </c>
      <c r="X15" s="209" t="s">
        <v>69</v>
      </c>
      <c r="Y15" s="209" t="s">
        <v>699</v>
      </c>
      <c r="Z15" s="210" t="s">
        <v>73</v>
      </c>
      <c r="AA15" s="211"/>
    </row>
    <row r="16" spans="1:891">
      <c r="A16" s="208">
        <v>14</v>
      </c>
      <c r="B16" s="209" t="s">
        <v>700</v>
      </c>
      <c r="C16" s="440" t="s">
        <v>701</v>
      </c>
      <c r="D16" s="209" t="s">
        <v>61</v>
      </c>
      <c r="E16" s="209" t="s">
        <v>82</v>
      </c>
      <c r="F16" s="209" t="s">
        <v>83</v>
      </c>
      <c r="G16" s="209"/>
      <c r="H16" s="209" t="s">
        <v>85</v>
      </c>
      <c r="I16" s="209"/>
      <c r="J16" s="209" t="s">
        <v>65</v>
      </c>
      <c r="K16" s="209" t="s">
        <v>66</v>
      </c>
      <c r="L16" s="209" t="s">
        <v>67</v>
      </c>
      <c r="M16" s="209" t="s">
        <v>68</v>
      </c>
      <c r="N16" s="209" t="s">
        <v>69</v>
      </c>
      <c r="O16" s="209" t="s">
        <v>90</v>
      </c>
      <c r="P16" s="209" t="s">
        <v>90</v>
      </c>
      <c r="Q16" s="209" t="s">
        <v>195</v>
      </c>
      <c r="R16" s="209" t="s">
        <v>90</v>
      </c>
      <c r="S16" s="209" t="s">
        <v>90</v>
      </c>
      <c r="T16" s="209" t="s">
        <v>90</v>
      </c>
      <c r="U16" s="209" t="s">
        <v>69</v>
      </c>
      <c r="V16" s="209" t="s">
        <v>195</v>
      </c>
      <c r="W16" s="209" t="s">
        <v>69</v>
      </c>
      <c r="X16" s="209" t="s">
        <v>69</v>
      </c>
      <c r="Y16" s="209" t="s">
        <v>702</v>
      </c>
      <c r="Z16" s="210" t="s">
        <v>110</v>
      </c>
      <c r="AA16" s="211"/>
    </row>
    <row r="17" spans="1:27">
      <c r="A17" s="208">
        <v>15</v>
      </c>
      <c r="B17" s="212" t="s">
        <v>703</v>
      </c>
      <c r="C17" s="438" t="s">
        <v>704</v>
      </c>
      <c r="D17" s="209" t="s">
        <v>92</v>
      </c>
      <c r="E17" s="209" t="s">
        <v>62</v>
      </c>
      <c r="F17" s="209" t="s">
        <v>145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10" t="s">
        <v>110</v>
      </c>
      <c r="AA17" s="213"/>
    </row>
    <row r="18" spans="1:27">
      <c r="A18" s="208">
        <v>16</v>
      </c>
      <c r="B18" s="212" t="s">
        <v>705</v>
      </c>
      <c r="C18" s="496" t="s">
        <v>706</v>
      </c>
      <c r="D18" s="209" t="s">
        <v>81</v>
      </c>
      <c r="E18" s="209" t="s">
        <v>82</v>
      </c>
      <c r="F18" s="209" t="s">
        <v>83</v>
      </c>
      <c r="G18" s="209" t="s">
        <v>84</v>
      </c>
      <c r="H18" s="209" t="s">
        <v>85</v>
      </c>
      <c r="I18" s="209" t="s">
        <v>707</v>
      </c>
      <c r="J18" s="209" t="s">
        <v>87</v>
      </c>
      <c r="K18" s="209" t="s">
        <v>66</v>
      </c>
      <c r="L18" s="209" t="s">
        <v>67</v>
      </c>
      <c r="M18" s="209" t="s">
        <v>68</v>
      </c>
      <c r="N18" s="209" t="s">
        <v>69</v>
      </c>
      <c r="O18" s="209" t="s">
        <v>195</v>
      </c>
      <c r="P18" s="209" t="s">
        <v>195</v>
      </c>
      <c r="Q18" s="209" t="s">
        <v>195</v>
      </c>
      <c r="R18" s="209" t="s">
        <v>195</v>
      </c>
      <c r="S18" s="209" t="s">
        <v>195</v>
      </c>
      <c r="T18" s="209" t="s">
        <v>195</v>
      </c>
      <c r="U18" s="209" t="s">
        <v>69</v>
      </c>
      <c r="V18" s="209" t="s">
        <v>195</v>
      </c>
      <c r="W18" s="209" t="s">
        <v>69</v>
      </c>
      <c r="X18" s="209" t="s">
        <v>90</v>
      </c>
      <c r="Y18" s="209"/>
      <c r="Z18" s="210" t="s">
        <v>73</v>
      </c>
      <c r="AA18" s="213"/>
    </row>
    <row r="19" spans="1:27">
      <c r="A19" s="208">
        <v>17</v>
      </c>
      <c r="B19" s="212" t="s">
        <v>708</v>
      </c>
      <c r="C19" s="496" t="s">
        <v>709</v>
      </c>
      <c r="D19" s="209" t="s">
        <v>61</v>
      </c>
      <c r="E19" s="209" t="s">
        <v>82</v>
      </c>
      <c r="F19" s="209" t="s">
        <v>83</v>
      </c>
      <c r="G19" s="209" t="s">
        <v>84</v>
      </c>
      <c r="H19" s="209" t="s">
        <v>85</v>
      </c>
      <c r="I19" s="209" t="s">
        <v>710</v>
      </c>
      <c r="J19" s="209" t="s">
        <v>87</v>
      </c>
      <c r="K19" s="209" t="s">
        <v>66</v>
      </c>
      <c r="L19" s="209" t="s">
        <v>67</v>
      </c>
      <c r="M19" s="209" t="s">
        <v>68</v>
      </c>
      <c r="N19" s="209" t="s">
        <v>69</v>
      </c>
      <c r="O19" s="209" t="s">
        <v>195</v>
      </c>
      <c r="P19" s="209" t="s">
        <v>195</v>
      </c>
      <c r="Q19" s="209" t="s">
        <v>195</v>
      </c>
      <c r="R19" s="209" t="s">
        <v>195</v>
      </c>
      <c r="S19" s="209" t="s">
        <v>195</v>
      </c>
      <c r="T19" s="209" t="s">
        <v>195</v>
      </c>
      <c r="U19" s="209" t="s">
        <v>69</v>
      </c>
      <c r="V19" s="209" t="s">
        <v>195</v>
      </c>
      <c r="W19" s="209" t="s">
        <v>69</v>
      </c>
      <c r="X19" s="209" t="s">
        <v>90</v>
      </c>
      <c r="Y19" s="209"/>
      <c r="Z19" s="210" t="s">
        <v>73</v>
      </c>
      <c r="AA19" s="213"/>
    </row>
    <row r="20" spans="1:27" s="290" customFormat="1">
      <c r="A20" s="335">
        <v>18</v>
      </c>
      <c r="B20" s="339" t="s">
        <v>711</v>
      </c>
      <c r="C20" s="440" t="s">
        <v>712</v>
      </c>
      <c r="D20" s="336" t="s">
        <v>92</v>
      </c>
      <c r="E20" s="336" t="s">
        <v>62</v>
      </c>
      <c r="F20" s="336" t="s">
        <v>188</v>
      </c>
      <c r="G20" s="336"/>
      <c r="H20" s="336"/>
      <c r="I20" s="336"/>
      <c r="J20" s="336"/>
      <c r="K20" s="336"/>
      <c r="L20" s="336"/>
      <c r="M20" s="336"/>
      <c r="N20" s="209" t="s">
        <v>69</v>
      </c>
      <c r="O20" s="209" t="s">
        <v>195</v>
      </c>
      <c r="P20" s="209" t="s">
        <v>195</v>
      </c>
      <c r="Q20" s="209" t="s">
        <v>195</v>
      </c>
      <c r="R20" s="209" t="s">
        <v>195</v>
      </c>
      <c r="S20" s="209" t="s">
        <v>195</v>
      </c>
      <c r="T20" s="209" t="s">
        <v>195</v>
      </c>
      <c r="U20" s="209" t="s">
        <v>69</v>
      </c>
      <c r="V20" s="209" t="s">
        <v>195</v>
      </c>
      <c r="W20" s="209" t="s">
        <v>69</v>
      </c>
      <c r="X20" s="209" t="s">
        <v>90</v>
      </c>
      <c r="Y20" s="209"/>
      <c r="Z20" s="337" t="s">
        <v>73</v>
      </c>
      <c r="AA20" s="340"/>
    </row>
    <row r="21" spans="1:27">
      <c r="A21" s="208">
        <v>19</v>
      </c>
      <c r="B21" s="212" t="s">
        <v>713</v>
      </c>
      <c r="C21" s="438" t="s">
        <v>714</v>
      </c>
      <c r="D21" s="209" t="s">
        <v>715</v>
      </c>
      <c r="E21" s="209" t="s">
        <v>62</v>
      </c>
      <c r="F21" s="209" t="s">
        <v>188</v>
      </c>
      <c r="G21" s="209" t="s">
        <v>716</v>
      </c>
      <c r="H21" s="209"/>
      <c r="I21" s="209"/>
      <c r="J21" s="209" t="s">
        <v>65</v>
      </c>
      <c r="K21" s="209" t="s">
        <v>66</v>
      </c>
      <c r="L21" s="209" t="s">
        <v>67</v>
      </c>
      <c r="M21" s="209" t="s">
        <v>68</v>
      </c>
      <c r="N21" s="209" t="s">
        <v>69</v>
      </c>
      <c r="O21" s="209" t="s">
        <v>195</v>
      </c>
      <c r="P21" s="209" t="s">
        <v>195</v>
      </c>
      <c r="Q21" s="209" t="s">
        <v>195</v>
      </c>
      <c r="R21" s="209" t="s">
        <v>195</v>
      </c>
      <c r="S21" s="209" t="s">
        <v>195</v>
      </c>
      <c r="T21" s="209" t="s">
        <v>195</v>
      </c>
      <c r="U21" s="209" t="s">
        <v>69</v>
      </c>
      <c r="V21" s="209" t="s">
        <v>195</v>
      </c>
      <c r="W21" s="209" t="s">
        <v>69</v>
      </c>
      <c r="X21" s="209" t="s">
        <v>90</v>
      </c>
      <c r="Y21" s="209"/>
      <c r="Z21" s="337" t="s">
        <v>73</v>
      </c>
      <c r="AA21" s="213"/>
    </row>
    <row r="22" spans="1:27">
      <c r="A22" s="208">
        <v>20</v>
      </c>
      <c r="B22" s="212" t="s">
        <v>717</v>
      </c>
      <c r="C22" s="495" t="s">
        <v>718</v>
      </c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10" t="s">
        <v>110</v>
      </c>
      <c r="AA22" s="213"/>
    </row>
    <row r="23" spans="1:27">
      <c r="A23" s="208">
        <v>21</v>
      </c>
      <c r="B23" s="212" t="s">
        <v>719</v>
      </c>
      <c r="C23" s="438" t="s">
        <v>720</v>
      </c>
      <c r="D23" s="209" t="s">
        <v>92</v>
      </c>
      <c r="E23" s="209" t="s">
        <v>62</v>
      </c>
      <c r="F23" s="209" t="s">
        <v>138</v>
      </c>
      <c r="G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10" t="s">
        <v>73</v>
      </c>
      <c r="AA23" s="213"/>
    </row>
    <row r="24" spans="1:27">
      <c r="A24" s="208">
        <v>22</v>
      </c>
      <c r="B24" s="212" t="s">
        <v>721</v>
      </c>
      <c r="C24" s="438" t="s">
        <v>722</v>
      </c>
      <c r="D24" s="209" t="s">
        <v>81</v>
      </c>
      <c r="E24" s="209" t="s">
        <v>82</v>
      </c>
      <c r="F24" s="209" t="s">
        <v>83</v>
      </c>
      <c r="G24" s="209" t="s">
        <v>84</v>
      </c>
      <c r="H24" s="209" t="s">
        <v>85</v>
      </c>
      <c r="I24" s="209" t="s">
        <v>723</v>
      </c>
      <c r="J24" s="209" t="s">
        <v>87</v>
      </c>
      <c r="K24" s="209" t="s">
        <v>66</v>
      </c>
      <c r="L24" s="209" t="s">
        <v>67</v>
      </c>
      <c r="M24" s="209" t="s">
        <v>68</v>
      </c>
      <c r="N24" s="209" t="s">
        <v>69</v>
      </c>
      <c r="O24" s="209" t="s">
        <v>70</v>
      </c>
      <c r="P24" s="209" t="s">
        <v>70</v>
      </c>
      <c r="Q24" s="209" t="s">
        <v>70</v>
      </c>
      <c r="R24" s="209" t="s">
        <v>70</v>
      </c>
      <c r="S24" s="209" t="s">
        <v>70</v>
      </c>
      <c r="T24" s="209" t="s">
        <v>70</v>
      </c>
      <c r="U24" s="209" t="s">
        <v>69</v>
      </c>
      <c r="V24" s="209" t="s">
        <v>70</v>
      </c>
      <c r="W24" s="209" t="s">
        <v>69</v>
      </c>
      <c r="X24" s="209" t="s">
        <v>70</v>
      </c>
      <c r="Y24" s="209" t="s">
        <v>724</v>
      </c>
      <c r="Z24" s="210" t="s">
        <v>73</v>
      </c>
      <c r="AA24" s="213"/>
    </row>
    <row r="25" spans="1:27">
      <c r="A25" s="208">
        <v>23</v>
      </c>
      <c r="B25" s="212" t="s">
        <v>725</v>
      </c>
      <c r="C25" s="492" t="s">
        <v>726</v>
      </c>
      <c r="D25" s="209" t="s">
        <v>61</v>
      </c>
      <c r="E25" s="209" t="s">
        <v>82</v>
      </c>
      <c r="F25" s="209" t="s">
        <v>83</v>
      </c>
      <c r="G25" s="209" t="s">
        <v>95</v>
      </c>
      <c r="H25" s="209" t="s">
        <v>727</v>
      </c>
      <c r="I25" s="209" t="s">
        <v>728</v>
      </c>
      <c r="J25" s="209" t="s">
        <v>65</v>
      </c>
      <c r="K25" s="209" t="s">
        <v>66</v>
      </c>
      <c r="L25" s="209" t="s">
        <v>67</v>
      </c>
      <c r="M25" s="209" t="s">
        <v>78</v>
      </c>
      <c r="N25" s="209" t="s">
        <v>69</v>
      </c>
      <c r="O25" s="209" t="s">
        <v>90</v>
      </c>
      <c r="P25" s="209" t="s">
        <v>90</v>
      </c>
      <c r="Q25" s="209"/>
      <c r="R25" s="209" t="s">
        <v>90</v>
      </c>
      <c r="S25" s="209" t="s">
        <v>90</v>
      </c>
      <c r="T25" s="209" t="s">
        <v>90</v>
      </c>
      <c r="U25" s="209" t="s">
        <v>69</v>
      </c>
      <c r="V25" s="209"/>
      <c r="W25" s="209" t="s">
        <v>69</v>
      </c>
      <c r="X25" s="209" t="s">
        <v>90</v>
      </c>
      <c r="Y25" s="209" t="s">
        <v>724</v>
      </c>
      <c r="Z25" s="210" t="s">
        <v>73</v>
      </c>
      <c r="AA25" s="213"/>
    </row>
    <row r="26" spans="1:27">
      <c r="A26" s="208">
        <v>24</v>
      </c>
      <c r="B26" s="212" t="s">
        <v>729</v>
      </c>
      <c r="C26" s="492" t="s">
        <v>730</v>
      </c>
      <c r="D26" s="209" t="s">
        <v>81</v>
      </c>
      <c r="E26" s="209" t="s">
        <v>82</v>
      </c>
      <c r="F26" s="209" t="s">
        <v>83</v>
      </c>
      <c r="G26" s="209" t="s">
        <v>84</v>
      </c>
      <c r="H26" s="209" t="s">
        <v>85</v>
      </c>
      <c r="I26" s="209" t="s">
        <v>731</v>
      </c>
      <c r="J26" s="209" t="s">
        <v>87</v>
      </c>
      <c r="K26" s="209" t="s">
        <v>66</v>
      </c>
      <c r="L26" s="209" t="s">
        <v>67</v>
      </c>
      <c r="M26" s="209" t="s">
        <v>68</v>
      </c>
      <c r="N26" s="209" t="s">
        <v>69</v>
      </c>
      <c r="O26" s="209" t="s">
        <v>90</v>
      </c>
      <c r="P26" s="209"/>
      <c r="Q26" s="209"/>
      <c r="R26" s="209" t="s">
        <v>90</v>
      </c>
      <c r="S26" s="209" t="s">
        <v>90</v>
      </c>
      <c r="T26" s="209" t="s">
        <v>90</v>
      </c>
      <c r="U26" s="209" t="s">
        <v>69</v>
      </c>
      <c r="V26" s="209"/>
      <c r="W26" s="209" t="s">
        <v>69</v>
      </c>
      <c r="X26" s="209" t="s">
        <v>69</v>
      </c>
      <c r="Y26" s="209" t="s">
        <v>724</v>
      </c>
      <c r="Z26" s="210" t="s">
        <v>73</v>
      </c>
      <c r="AA26" s="213"/>
    </row>
    <row r="27" spans="1:27">
      <c r="A27" s="208">
        <v>25</v>
      </c>
      <c r="B27" s="212" t="s">
        <v>732</v>
      </c>
      <c r="C27" s="438" t="s">
        <v>733</v>
      </c>
      <c r="D27" s="209" t="s">
        <v>61</v>
      </c>
      <c r="E27" s="209" t="s">
        <v>82</v>
      </c>
      <c r="F27" s="209"/>
      <c r="G27" s="209"/>
      <c r="H27" s="209"/>
      <c r="I27" s="209"/>
      <c r="J27" s="209"/>
      <c r="K27" s="209"/>
      <c r="L27" s="209"/>
      <c r="M27" s="209" t="s">
        <v>78</v>
      </c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10" t="s">
        <v>73</v>
      </c>
      <c r="AA27" s="213"/>
    </row>
    <row r="28" spans="1:27">
      <c r="A28" s="208">
        <v>26</v>
      </c>
      <c r="B28" s="212" t="s">
        <v>734</v>
      </c>
      <c r="C28" s="495" t="s">
        <v>735</v>
      </c>
      <c r="D28" s="209" t="s">
        <v>81</v>
      </c>
      <c r="E28" s="209" t="s">
        <v>82</v>
      </c>
      <c r="F28" s="209" t="s">
        <v>83</v>
      </c>
      <c r="G28" s="209" t="s">
        <v>84</v>
      </c>
      <c r="H28" s="209" t="s">
        <v>85</v>
      </c>
      <c r="I28" s="209" t="s">
        <v>736</v>
      </c>
      <c r="J28" s="209" t="s">
        <v>87</v>
      </c>
      <c r="K28" s="209" t="s">
        <v>66</v>
      </c>
      <c r="L28" s="209" t="s">
        <v>67</v>
      </c>
      <c r="M28" s="209" t="s">
        <v>68</v>
      </c>
      <c r="N28" s="209" t="s">
        <v>69</v>
      </c>
      <c r="O28" s="209" t="s">
        <v>70</v>
      </c>
      <c r="P28" s="209" t="s">
        <v>70</v>
      </c>
      <c r="Q28" s="209" t="s">
        <v>70</v>
      </c>
      <c r="R28" s="209" t="s">
        <v>70</v>
      </c>
      <c r="S28" s="209" t="s">
        <v>70</v>
      </c>
      <c r="T28" s="209" t="s">
        <v>70</v>
      </c>
      <c r="U28" s="209" t="s">
        <v>69</v>
      </c>
      <c r="V28" s="209" t="s">
        <v>70</v>
      </c>
      <c r="W28" s="209" t="s">
        <v>69</v>
      </c>
      <c r="X28" s="209" t="s">
        <v>70</v>
      </c>
      <c r="Y28" s="209"/>
      <c r="Z28" s="210" t="s">
        <v>73</v>
      </c>
      <c r="AA28" s="213"/>
    </row>
    <row r="29" spans="1:27">
      <c r="A29" s="208">
        <v>27</v>
      </c>
      <c r="B29" s="212" t="s">
        <v>737</v>
      </c>
      <c r="C29" s="248" t="s">
        <v>738</v>
      </c>
      <c r="D29" s="209" t="s">
        <v>61</v>
      </c>
      <c r="E29" s="209" t="s">
        <v>82</v>
      </c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10" t="s">
        <v>110</v>
      </c>
      <c r="AA29" s="213"/>
    </row>
    <row r="30" spans="1:27">
      <c r="A30" s="208">
        <v>28</v>
      </c>
      <c r="B30" s="212" t="s">
        <v>739</v>
      </c>
      <c r="C30" s="520" t="s">
        <v>740</v>
      </c>
      <c r="D30" s="209" t="s">
        <v>92</v>
      </c>
      <c r="E30" s="209" t="s">
        <v>62</v>
      </c>
      <c r="F30" s="209" t="s">
        <v>138</v>
      </c>
      <c r="G30" s="209" t="s">
        <v>741</v>
      </c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10" t="s">
        <v>110</v>
      </c>
      <c r="AA30" s="213"/>
    </row>
    <row r="31" spans="1:27">
      <c r="A31" s="208">
        <v>29</v>
      </c>
      <c r="B31" s="212" t="s">
        <v>742</v>
      </c>
      <c r="C31" s="438" t="s">
        <v>720</v>
      </c>
      <c r="D31" s="209" t="s">
        <v>92</v>
      </c>
      <c r="E31" s="209" t="s">
        <v>62</v>
      </c>
      <c r="F31" s="209" t="s">
        <v>188</v>
      </c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10" t="s">
        <v>73</v>
      </c>
      <c r="AA31" s="213"/>
    </row>
    <row r="32" spans="1:27">
      <c r="A32" s="208">
        <v>30</v>
      </c>
      <c r="B32" s="212" t="s">
        <v>743</v>
      </c>
      <c r="C32" s="496" t="s">
        <v>744</v>
      </c>
      <c r="D32" s="209" t="s">
        <v>61</v>
      </c>
      <c r="E32" s="209" t="s">
        <v>82</v>
      </c>
      <c r="F32" s="209" t="s">
        <v>83</v>
      </c>
      <c r="G32" s="209"/>
      <c r="H32" s="209"/>
      <c r="I32" s="209"/>
      <c r="J32" s="209"/>
      <c r="K32" s="209"/>
      <c r="L32" s="209"/>
      <c r="M32" s="209"/>
      <c r="N32" s="209" t="s">
        <v>69</v>
      </c>
      <c r="O32" s="209" t="s">
        <v>70</v>
      </c>
      <c r="P32" s="209" t="s">
        <v>70</v>
      </c>
      <c r="Q32" s="209" t="s">
        <v>70</v>
      </c>
      <c r="R32" s="209" t="s">
        <v>70</v>
      </c>
      <c r="S32" s="209" t="s">
        <v>70</v>
      </c>
      <c r="T32" s="209" t="s">
        <v>70</v>
      </c>
      <c r="U32" s="209" t="s">
        <v>69</v>
      </c>
      <c r="V32" s="209" t="s">
        <v>70</v>
      </c>
      <c r="W32" s="209" t="s">
        <v>69</v>
      </c>
      <c r="X32" s="209" t="s">
        <v>70</v>
      </c>
      <c r="Y32" s="209"/>
      <c r="Z32" s="210" t="s">
        <v>73</v>
      </c>
      <c r="AA32" s="213"/>
    </row>
    <row r="33" spans="1:27">
      <c r="A33" s="208">
        <v>31</v>
      </c>
      <c r="B33" s="212" t="s">
        <v>745</v>
      </c>
      <c r="C33" s="440" t="s">
        <v>746</v>
      </c>
      <c r="D33" s="209" t="s">
        <v>81</v>
      </c>
      <c r="E33" s="209" t="s">
        <v>82</v>
      </c>
      <c r="F33" s="209"/>
      <c r="G33" s="209"/>
      <c r="H33" s="209"/>
      <c r="I33" s="209"/>
      <c r="J33" s="209" t="s">
        <v>65</v>
      </c>
      <c r="K33" s="209" t="s">
        <v>66</v>
      </c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10" t="s">
        <v>73</v>
      </c>
      <c r="AA33" s="213"/>
    </row>
    <row r="34" spans="1:27">
      <c r="A34" s="208">
        <v>32</v>
      </c>
      <c r="B34" s="212" t="s">
        <v>747</v>
      </c>
      <c r="C34" s="441" t="s">
        <v>748</v>
      </c>
      <c r="D34" s="209" t="s">
        <v>92</v>
      </c>
      <c r="E34" s="209" t="s">
        <v>62</v>
      </c>
      <c r="L34" s="1" t="s">
        <v>246</v>
      </c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10" t="s">
        <v>73</v>
      </c>
      <c r="AA34" s="213"/>
    </row>
    <row r="35" spans="1:27" s="290" customFormat="1">
      <c r="A35" s="335">
        <v>33</v>
      </c>
      <c r="B35" s="339" t="s">
        <v>749</v>
      </c>
      <c r="C35" s="438" t="s">
        <v>750</v>
      </c>
      <c r="D35" s="209" t="s">
        <v>61</v>
      </c>
      <c r="E35" s="209" t="s">
        <v>82</v>
      </c>
      <c r="F35" s="336" t="s">
        <v>83</v>
      </c>
      <c r="G35" s="336"/>
      <c r="H35" s="336"/>
      <c r="I35" s="336"/>
      <c r="J35" s="336" t="s">
        <v>65</v>
      </c>
      <c r="K35" s="336" t="s">
        <v>66</v>
      </c>
      <c r="L35" s="336" t="s">
        <v>544</v>
      </c>
      <c r="M35" s="336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10" t="s">
        <v>73</v>
      </c>
      <c r="AA35" s="340"/>
    </row>
    <row r="36" spans="1:27">
      <c r="A36" s="208">
        <v>34</v>
      </c>
      <c r="B36" s="212" t="s">
        <v>751</v>
      </c>
      <c r="C36" s="521" t="s">
        <v>752</v>
      </c>
      <c r="D36" s="209" t="s">
        <v>81</v>
      </c>
      <c r="E36" s="209" t="s">
        <v>82</v>
      </c>
      <c r="F36" s="209" t="s">
        <v>83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10" t="s">
        <v>73</v>
      </c>
      <c r="AA36" s="213"/>
    </row>
    <row r="37" spans="1:27" s="290" customFormat="1">
      <c r="A37" s="335">
        <v>35</v>
      </c>
      <c r="B37" s="339" t="s">
        <v>753</v>
      </c>
      <c r="C37" s="438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337" t="s">
        <v>110</v>
      </c>
      <c r="AA37" s="340"/>
    </row>
    <row r="38" spans="1:27">
      <c r="A38" s="208">
        <v>36</v>
      </c>
      <c r="B38" s="212" t="s">
        <v>754</v>
      </c>
      <c r="C38" s="450" t="s">
        <v>755</v>
      </c>
      <c r="D38" s="209" t="s">
        <v>61</v>
      </c>
      <c r="E38" s="209" t="s">
        <v>82</v>
      </c>
      <c r="F38" s="209" t="s">
        <v>83</v>
      </c>
      <c r="G38" s="209" t="s">
        <v>95</v>
      </c>
      <c r="H38" s="209" t="s">
        <v>85</v>
      </c>
      <c r="I38" s="209" t="s">
        <v>756</v>
      </c>
      <c r="J38" s="209" t="s">
        <v>65</v>
      </c>
      <c r="K38" s="209" t="s">
        <v>66</v>
      </c>
      <c r="L38" s="209" t="s">
        <v>67</v>
      </c>
      <c r="M38" s="209" t="s">
        <v>68</v>
      </c>
      <c r="N38" s="209" t="s">
        <v>69</v>
      </c>
      <c r="O38" s="209" t="s">
        <v>195</v>
      </c>
      <c r="P38" s="209" t="s">
        <v>195</v>
      </c>
      <c r="Q38" s="209" t="s">
        <v>195</v>
      </c>
      <c r="R38" s="209" t="s">
        <v>195</v>
      </c>
      <c r="S38" s="209" t="s">
        <v>195</v>
      </c>
      <c r="T38" s="209" t="s">
        <v>195</v>
      </c>
      <c r="U38" s="209" t="s">
        <v>69</v>
      </c>
      <c r="V38" s="209" t="s">
        <v>195</v>
      </c>
      <c r="W38" s="209" t="s">
        <v>69</v>
      </c>
      <c r="X38" s="209" t="s">
        <v>69</v>
      </c>
      <c r="Y38" s="209" t="s">
        <v>757</v>
      </c>
      <c r="Z38" s="210" t="s">
        <v>73</v>
      </c>
      <c r="AA38" s="213"/>
    </row>
    <row r="39" spans="1:27">
      <c r="A39" s="208">
        <v>37</v>
      </c>
      <c r="B39" s="212" t="s">
        <v>758</v>
      </c>
      <c r="C39" s="438" t="s">
        <v>759</v>
      </c>
      <c r="D39" s="209" t="s">
        <v>61</v>
      </c>
      <c r="E39" s="209" t="s">
        <v>82</v>
      </c>
      <c r="F39" s="209" t="s">
        <v>83</v>
      </c>
      <c r="G39" s="209" t="s">
        <v>95</v>
      </c>
      <c r="H39" s="209"/>
      <c r="I39" s="209"/>
      <c r="J39" s="209" t="s">
        <v>65</v>
      </c>
      <c r="K39" s="209" t="s">
        <v>66</v>
      </c>
      <c r="L39" s="209"/>
      <c r="M39" s="209"/>
      <c r="N39" s="209" t="s">
        <v>69</v>
      </c>
      <c r="O39" s="209" t="s">
        <v>195</v>
      </c>
      <c r="P39" s="209" t="s">
        <v>69</v>
      </c>
      <c r="Q39" s="209" t="s">
        <v>195</v>
      </c>
      <c r="R39" s="209" t="s">
        <v>195</v>
      </c>
      <c r="S39" s="209" t="s">
        <v>195</v>
      </c>
      <c r="T39" s="209" t="s">
        <v>69</v>
      </c>
      <c r="U39" s="209" t="s">
        <v>69</v>
      </c>
      <c r="V39" s="209" t="s">
        <v>195</v>
      </c>
      <c r="W39" s="209" t="s">
        <v>69</v>
      </c>
      <c r="X39" s="209" t="s">
        <v>69</v>
      </c>
      <c r="Y39" s="209" t="s">
        <v>757</v>
      </c>
      <c r="Z39" s="210" t="s">
        <v>73</v>
      </c>
      <c r="AA39" s="213"/>
    </row>
    <row r="40" spans="1:27" s="290" customFormat="1">
      <c r="A40" s="335">
        <v>38</v>
      </c>
      <c r="B40" s="339" t="s">
        <v>760</v>
      </c>
      <c r="C40" s="437" t="s">
        <v>761</v>
      </c>
      <c r="D40" s="336" t="s">
        <v>92</v>
      </c>
      <c r="E40" s="336" t="s">
        <v>62</v>
      </c>
      <c r="F40" s="336"/>
      <c r="G40" s="336"/>
      <c r="H40" s="336"/>
      <c r="I40" s="336"/>
      <c r="J40" s="336"/>
      <c r="K40" s="336"/>
      <c r="L40" s="336"/>
      <c r="M40" s="336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 t="s">
        <v>762</v>
      </c>
      <c r="Z40" s="337" t="s">
        <v>110</v>
      </c>
      <c r="AA40" s="340"/>
    </row>
    <row r="41" spans="1:27" s="290" customFormat="1">
      <c r="A41" s="335">
        <v>39</v>
      </c>
      <c r="B41" s="339" t="s">
        <v>763</v>
      </c>
      <c r="C41" s="438" t="s">
        <v>764</v>
      </c>
      <c r="D41" s="336" t="s">
        <v>155</v>
      </c>
      <c r="E41" s="336" t="s">
        <v>62</v>
      </c>
      <c r="F41" s="336"/>
      <c r="G41" s="336"/>
      <c r="H41" s="336"/>
      <c r="I41" s="336"/>
      <c r="J41" s="336"/>
      <c r="K41" s="336"/>
      <c r="L41" s="336"/>
      <c r="M41" s="336"/>
      <c r="N41" s="209" t="s">
        <v>69</v>
      </c>
      <c r="O41" s="209" t="s">
        <v>69</v>
      </c>
      <c r="P41" s="209" t="s">
        <v>69</v>
      </c>
      <c r="Q41" s="209"/>
      <c r="R41" s="209" t="s">
        <v>69</v>
      </c>
      <c r="S41" s="209" t="s">
        <v>69</v>
      </c>
      <c r="T41" s="209" t="s">
        <v>69</v>
      </c>
      <c r="U41" s="209" t="s">
        <v>69</v>
      </c>
      <c r="V41" s="209" t="s">
        <v>69</v>
      </c>
      <c r="W41" s="209" t="s">
        <v>69</v>
      </c>
      <c r="X41" s="209" t="s">
        <v>69</v>
      </c>
      <c r="Y41" s="209" t="s">
        <v>702</v>
      </c>
      <c r="Z41" s="337" t="s">
        <v>110</v>
      </c>
      <c r="AA41" s="340"/>
    </row>
    <row r="42" spans="1:27">
      <c r="A42" s="208">
        <v>40</v>
      </c>
      <c r="B42" s="212" t="s">
        <v>765</v>
      </c>
      <c r="C42" s="438" t="s">
        <v>733</v>
      </c>
      <c r="D42" s="209" t="s">
        <v>61</v>
      </c>
      <c r="E42" s="209" t="s">
        <v>82</v>
      </c>
      <c r="F42" s="209" t="s">
        <v>83</v>
      </c>
      <c r="G42" s="209" t="s">
        <v>766</v>
      </c>
      <c r="H42" s="209" t="s">
        <v>767</v>
      </c>
      <c r="I42" s="209"/>
      <c r="J42" s="209" t="s">
        <v>65</v>
      </c>
      <c r="K42" s="209" t="s">
        <v>66</v>
      </c>
      <c r="L42" s="209" t="s">
        <v>67</v>
      </c>
      <c r="M42" s="209" t="s">
        <v>68</v>
      </c>
      <c r="N42" s="209" t="s">
        <v>69</v>
      </c>
      <c r="O42" s="209" t="s">
        <v>90</v>
      </c>
      <c r="P42" s="209" t="s">
        <v>69</v>
      </c>
      <c r="Q42" s="209"/>
      <c r="R42" s="209" t="s">
        <v>69</v>
      </c>
      <c r="S42" s="209" t="s">
        <v>90</v>
      </c>
      <c r="T42" s="209" t="s">
        <v>69</v>
      </c>
      <c r="U42" s="209" t="s">
        <v>69</v>
      </c>
      <c r="V42" s="209" t="s">
        <v>69</v>
      </c>
      <c r="W42" s="209" t="s">
        <v>69</v>
      </c>
      <c r="X42" s="209" t="s">
        <v>69</v>
      </c>
      <c r="Y42" s="209" t="s">
        <v>702</v>
      </c>
      <c r="Z42" s="210" t="s">
        <v>73</v>
      </c>
      <c r="AA42" s="213"/>
    </row>
    <row r="43" spans="1:27">
      <c r="A43" s="208">
        <v>41</v>
      </c>
      <c r="B43" s="212" t="s">
        <v>768</v>
      </c>
      <c r="C43" s="496" t="s">
        <v>769</v>
      </c>
      <c r="D43" s="209" t="s">
        <v>61</v>
      </c>
      <c r="E43" s="209" t="s">
        <v>82</v>
      </c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10" t="s">
        <v>110</v>
      </c>
      <c r="AA43" s="213"/>
    </row>
    <row r="44" spans="1:27">
      <c r="A44" s="208">
        <v>42</v>
      </c>
      <c r="B44" s="212" t="s">
        <v>770</v>
      </c>
      <c r="C44" s="440" t="s">
        <v>771</v>
      </c>
      <c r="D44" s="209" t="s">
        <v>61</v>
      </c>
      <c r="E44" s="209" t="s">
        <v>82</v>
      </c>
      <c r="F44" s="209" t="s">
        <v>83</v>
      </c>
      <c r="G44" s="209" t="s">
        <v>766</v>
      </c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10" t="s">
        <v>73</v>
      </c>
      <c r="AA44" s="213"/>
    </row>
    <row r="45" spans="1:27">
      <c r="A45" s="208">
        <v>43</v>
      </c>
      <c r="B45" s="212" t="s">
        <v>772</v>
      </c>
      <c r="C45" s="496" t="s">
        <v>773</v>
      </c>
      <c r="D45" s="209" t="s">
        <v>81</v>
      </c>
      <c r="E45" s="209" t="s">
        <v>82</v>
      </c>
      <c r="F45" s="209" t="s">
        <v>83</v>
      </c>
      <c r="G45" s="209" t="s">
        <v>99</v>
      </c>
      <c r="H45" s="209" t="s">
        <v>85</v>
      </c>
      <c r="I45" s="209" t="s">
        <v>774</v>
      </c>
      <c r="J45" s="209" t="s">
        <v>65</v>
      </c>
      <c r="K45" s="209" t="s">
        <v>66</v>
      </c>
      <c r="L45" s="209" t="s">
        <v>67</v>
      </c>
      <c r="M45" s="209" t="s">
        <v>68</v>
      </c>
      <c r="N45" s="209" t="s">
        <v>69</v>
      </c>
      <c r="O45" s="209" t="s">
        <v>90</v>
      </c>
      <c r="P45" s="209" t="s">
        <v>90</v>
      </c>
      <c r="Q45" s="209" t="s">
        <v>195</v>
      </c>
      <c r="R45" s="209" t="s">
        <v>90</v>
      </c>
      <c r="S45" s="209" t="s">
        <v>90</v>
      </c>
      <c r="T45" s="209" t="s">
        <v>90</v>
      </c>
      <c r="U45" s="209" t="s">
        <v>69</v>
      </c>
      <c r="V45" s="209" t="s">
        <v>90</v>
      </c>
      <c r="W45" s="209" t="s">
        <v>69</v>
      </c>
      <c r="X45" s="209" t="s">
        <v>90</v>
      </c>
      <c r="Y45" s="209" t="s">
        <v>702</v>
      </c>
      <c r="Z45" s="210" t="s">
        <v>73</v>
      </c>
      <c r="AA45" s="213"/>
    </row>
    <row r="46" spans="1:27">
      <c r="A46" s="208">
        <v>44</v>
      </c>
      <c r="B46" s="212" t="s">
        <v>775</v>
      </c>
      <c r="C46" s="438" t="s">
        <v>776</v>
      </c>
      <c r="D46" s="209" t="s">
        <v>61</v>
      </c>
      <c r="E46" s="209" t="s">
        <v>82</v>
      </c>
      <c r="F46" s="209" t="s">
        <v>83</v>
      </c>
      <c r="G46" s="209" t="s">
        <v>766</v>
      </c>
      <c r="H46" s="209" t="s">
        <v>63</v>
      </c>
      <c r="I46" s="209"/>
      <c r="J46" s="209" t="s">
        <v>65</v>
      </c>
      <c r="K46" s="209" t="s">
        <v>66</v>
      </c>
      <c r="L46" s="209" t="s">
        <v>67</v>
      </c>
      <c r="M46" s="209" t="s">
        <v>68</v>
      </c>
      <c r="N46" s="209" t="s">
        <v>90</v>
      </c>
      <c r="O46" s="209" t="s">
        <v>90</v>
      </c>
      <c r="P46" s="209" t="s">
        <v>69</v>
      </c>
      <c r="Q46" s="209" t="s">
        <v>195</v>
      </c>
      <c r="R46" s="209" t="s">
        <v>69</v>
      </c>
      <c r="S46" s="209" t="s">
        <v>69</v>
      </c>
      <c r="T46" s="209" t="s">
        <v>69</v>
      </c>
      <c r="U46" s="209" t="s">
        <v>69</v>
      </c>
      <c r="V46" s="209"/>
      <c r="W46" s="209" t="s">
        <v>90</v>
      </c>
      <c r="X46" s="209" t="s">
        <v>90</v>
      </c>
      <c r="Y46" s="209" t="s">
        <v>702</v>
      </c>
      <c r="Z46" s="210" t="s">
        <v>73</v>
      </c>
      <c r="AA46" s="213"/>
    </row>
    <row r="47" spans="1:27" s="290" customFormat="1">
      <c r="A47" s="335">
        <v>45</v>
      </c>
      <c r="B47" s="339" t="s">
        <v>777</v>
      </c>
      <c r="C47" s="438" t="s">
        <v>778</v>
      </c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337" t="s">
        <v>110</v>
      </c>
      <c r="AA47" s="340"/>
    </row>
    <row r="48" spans="1:27" s="290" customFormat="1">
      <c r="A48" s="335">
        <v>46</v>
      </c>
      <c r="B48" s="339" t="s">
        <v>779</v>
      </c>
      <c r="C48" s="438" t="s">
        <v>780</v>
      </c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337" t="s">
        <v>110</v>
      </c>
      <c r="AA48" s="340"/>
    </row>
    <row r="49" spans="1:27" s="290" customFormat="1">
      <c r="A49" s="335">
        <v>47</v>
      </c>
      <c r="B49" s="339" t="s">
        <v>781</v>
      </c>
      <c r="C49" s="438" t="s">
        <v>782</v>
      </c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337" t="s">
        <v>110</v>
      </c>
      <c r="AA49" s="340"/>
    </row>
    <row r="50" spans="1:27" s="290" customFormat="1">
      <c r="A50" s="335">
        <v>48</v>
      </c>
      <c r="B50" s="339" t="s">
        <v>783</v>
      </c>
      <c r="C50" s="438" t="s">
        <v>784</v>
      </c>
      <c r="D50" s="209" t="s">
        <v>92</v>
      </c>
      <c r="E50" s="209" t="s">
        <v>62</v>
      </c>
      <c r="F50" s="209" t="s">
        <v>138</v>
      </c>
      <c r="G50" s="209" t="s">
        <v>785</v>
      </c>
      <c r="H50" s="209"/>
      <c r="I50" s="209"/>
      <c r="J50" s="209" t="s">
        <v>65</v>
      </c>
      <c r="K50" s="209" t="s">
        <v>66</v>
      </c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10" t="s">
        <v>73</v>
      </c>
      <c r="AA50" s="340"/>
    </row>
    <row r="51" spans="1:27" s="290" customFormat="1">
      <c r="A51" s="335">
        <v>49</v>
      </c>
      <c r="B51" s="339" t="s">
        <v>786</v>
      </c>
      <c r="C51" s="428" t="s">
        <v>787</v>
      </c>
      <c r="D51" s="336" t="s">
        <v>92</v>
      </c>
      <c r="E51" s="336" t="s">
        <v>62</v>
      </c>
      <c r="F51" s="336"/>
      <c r="G51" s="336"/>
      <c r="H51" s="336"/>
      <c r="I51" s="336"/>
      <c r="J51" s="336"/>
      <c r="K51" s="336"/>
      <c r="L51" s="336"/>
      <c r="M51" s="336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337" t="s">
        <v>110</v>
      </c>
      <c r="AA51" s="340"/>
    </row>
    <row r="52" spans="1:27" s="290" customFormat="1">
      <c r="A52" s="335">
        <v>50</v>
      </c>
      <c r="B52" s="339" t="s">
        <v>788</v>
      </c>
      <c r="C52" s="438" t="s">
        <v>789</v>
      </c>
      <c r="D52" s="336"/>
      <c r="E52" s="336"/>
      <c r="F52" s="336"/>
      <c r="G52" s="336"/>
      <c r="H52" s="336"/>
      <c r="I52" s="336"/>
      <c r="J52" s="336"/>
      <c r="K52" s="336"/>
      <c r="L52" s="336" t="s">
        <v>67</v>
      </c>
      <c r="M52" s="336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337" t="s">
        <v>110</v>
      </c>
      <c r="AA52" s="340"/>
    </row>
    <row r="53" spans="1:27" s="290" customFormat="1">
      <c r="A53" s="335">
        <v>51</v>
      </c>
      <c r="B53" s="339" t="s">
        <v>790</v>
      </c>
      <c r="C53" s="438" t="s">
        <v>791</v>
      </c>
      <c r="D53" s="336"/>
      <c r="E53" s="336"/>
      <c r="F53" s="336"/>
      <c r="G53" s="336"/>
      <c r="H53" s="336"/>
      <c r="I53" s="336"/>
      <c r="J53" s="336"/>
      <c r="K53" s="336"/>
      <c r="L53" s="336"/>
      <c r="M53" s="336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337" t="s">
        <v>110</v>
      </c>
      <c r="AA53" s="340"/>
    </row>
    <row r="54" spans="1:27">
      <c r="A54" s="208">
        <v>52</v>
      </c>
      <c r="B54" s="212" t="s">
        <v>792</v>
      </c>
      <c r="C54" s="427" t="s">
        <v>793</v>
      </c>
      <c r="D54" s="209" t="s">
        <v>92</v>
      </c>
      <c r="E54" s="209" t="s">
        <v>62</v>
      </c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10" t="s">
        <v>110</v>
      </c>
      <c r="AA54" s="213"/>
    </row>
    <row r="55" spans="1:27">
      <c r="A55" s="208">
        <v>53</v>
      </c>
      <c r="B55" s="212" t="s">
        <v>794</v>
      </c>
      <c r="C55" s="517" t="s">
        <v>795</v>
      </c>
      <c r="D55" s="209" t="s">
        <v>92</v>
      </c>
      <c r="E55" s="209" t="s">
        <v>62</v>
      </c>
      <c r="F55" s="209" t="s">
        <v>138</v>
      </c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10" t="s">
        <v>110</v>
      </c>
      <c r="AA55" s="213"/>
    </row>
    <row r="56" spans="1:27">
      <c r="A56" s="208">
        <v>54</v>
      </c>
      <c r="B56" s="212" t="s">
        <v>796</v>
      </c>
      <c r="C56" s="438" t="s">
        <v>797</v>
      </c>
      <c r="D56" s="209" t="s">
        <v>92</v>
      </c>
      <c r="E56" s="209" t="s">
        <v>62</v>
      </c>
      <c r="F56" s="209" t="s">
        <v>138</v>
      </c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10" t="s">
        <v>110</v>
      </c>
      <c r="AA56" s="213"/>
    </row>
    <row r="57" spans="1:27" s="248" customFormat="1">
      <c r="A57" s="208">
        <v>55</v>
      </c>
      <c r="B57" s="212" t="s">
        <v>798</v>
      </c>
      <c r="C57" s="438" t="s">
        <v>273</v>
      </c>
      <c r="D57" s="209" t="s">
        <v>92</v>
      </c>
      <c r="E57" s="209" t="s">
        <v>62</v>
      </c>
      <c r="F57" s="209" t="s">
        <v>138</v>
      </c>
      <c r="G57" s="209" t="s">
        <v>799</v>
      </c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10" t="s">
        <v>110</v>
      </c>
      <c r="AA57" s="213"/>
    </row>
    <row r="58" spans="1:27">
      <c r="A58" s="208">
        <v>56</v>
      </c>
      <c r="B58" s="212" t="s">
        <v>788</v>
      </c>
      <c r="C58" s="438" t="s">
        <v>800</v>
      </c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10" t="s">
        <v>110</v>
      </c>
      <c r="AA58" s="213"/>
    </row>
    <row r="59" spans="1:27" s="248" customFormat="1">
      <c r="A59" s="208">
        <v>57</v>
      </c>
      <c r="B59" s="212" t="s">
        <v>801</v>
      </c>
      <c r="C59" s="248" t="s">
        <v>802</v>
      </c>
      <c r="D59" s="209" t="s">
        <v>155</v>
      </c>
      <c r="E59" s="209" t="s">
        <v>62</v>
      </c>
      <c r="F59" s="209" t="s">
        <v>57</v>
      </c>
      <c r="G59" s="209"/>
      <c r="H59" s="209"/>
      <c r="I59" s="209"/>
      <c r="J59" s="209" t="s">
        <v>65</v>
      </c>
      <c r="K59" s="209" t="s">
        <v>66</v>
      </c>
      <c r="L59" s="209" t="s">
        <v>246</v>
      </c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10" t="s">
        <v>73</v>
      </c>
      <c r="AA59" s="213" t="s">
        <v>803</v>
      </c>
    </row>
    <row r="60" spans="1:27" s="248" customFormat="1">
      <c r="A60" s="208">
        <v>58</v>
      </c>
      <c r="B60" s="212" t="s">
        <v>804</v>
      </c>
      <c r="C60" s="496" t="s">
        <v>805</v>
      </c>
      <c r="D60" s="209" t="s">
        <v>61</v>
      </c>
      <c r="E60" s="209" t="s">
        <v>82</v>
      </c>
      <c r="F60" s="209"/>
      <c r="G60" s="209"/>
      <c r="H60" s="209"/>
      <c r="I60" s="209"/>
      <c r="J60" s="209" t="s">
        <v>65</v>
      </c>
      <c r="K60" s="209" t="s">
        <v>66</v>
      </c>
      <c r="L60" s="209"/>
      <c r="M60" s="209"/>
      <c r="N60" s="209" t="s">
        <v>69</v>
      </c>
      <c r="O60" s="209" t="s">
        <v>70</v>
      </c>
      <c r="P60" s="209" t="s">
        <v>70</v>
      </c>
      <c r="Q60" s="209" t="s">
        <v>70</v>
      </c>
      <c r="R60" s="209" t="s">
        <v>70</v>
      </c>
      <c r="S60" s="209" t="s">
        <v>70</v>
      </c>
      <c r="T60" s="209" t="s">
        <v>70</v>
      </c>
      <c r="U60" s="209" t="s">
        <v>69</v>
      </c>
      <c r="V60" s="209" t="s">
        <v>70</v>
      </c>
      <c r="W60" s="209" t="s">
        <v>69</v>
      </c>
      <c r="X60" s="209" t="s">
        <v>70</v>
      </c>
      <c r="Y60" s="209" t="s">
        <v>70</v>
      </c>
      <c r="Z60" s="210" t="s">
        <v>73</v>
      </c>
      <c r="AA60" s="213"/>
    </row>
    <row r="61" spans="1:27" s="248" customFormat="1">
      <c r="A61" s="208">
        <v>59</v>
      </c>
      <c r="B61" s="212" t="s">
        <v>806</v>
      </c>
      <c r="C61" s="428"/>
      <c r="D61" s="209" t="s">
        <v>92</v>
      </c>
      <c r="E61" s="209" t="s">
        <v>62</v>
      </c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10" t="s">
        <v>110</v>
      </c>
      <c r="AA61" s="213"/>
    </row>
    <row r="62" spans="1:27" s="248" customFormat="1">
      <c r="A62" s="208">
        <v>60</v>
      </c>
      <c r="B62" s="212" t="s">
        <v>807</v>
      </c>
      <c r="C62" s="428" t="s">
        <v>808</v>
      </c>
      <c r="D62" s="209" t="s">
        <v>92</v>
      </c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10" t="s">
        <v>110</v>
      </c>
      <c r="AA62" s="213"/>
    </row>
    <row r="63" spans="1:27" s="248" customFormat="1">
      <c r="A63" s="208">
        <v>61</v>
      </c>
      <c r="B63" s="212" t="s">
        <v>809</v>
      </c>
      <c r="C63" s="438" t="s">
        <v>810</v>
      </c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10" t="s">
        <v>110</v>
      </c>
      <c r="AA63" s="213"/>
    </row>
    <row r="64" spans="1:27" s="248" customFormat="1">
      <c r="A64" s="357">
        <v>62</v>
      </c>
      <c r="B64" s="358" t="s">
        <v>23</v>
      </c>
      <c r="C64" s="43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10" t="s">
        <v>110</v>
      </c>
      <c r="AA64" s="215"/>
    </row>
    <row r="66" spans="4:15">
      <c r="D66" s="621" t="s">
        <v>122</v>
      </c>
      <c r="E66" s="216" t="s">
        <v>123</v>
      </c>
      <c r="F66" s="217" t="s">
        <v>124</v>
      </c>
      <c r="G66" s="218" t="s">
        <v>125</v>
      </c>
      <c r="H66" s="219" t="s">
        <v>126</v>
      </c>
      <c r="J66" s="621" t="s">
        <v>122</v>
      </c>
      <c r="K66" s="623" t="s">
        <v>127</v>
      </c>
      <c r="L66" s="623"/>
      <c r="M66" s="623" t="s">
        <v>128</v>
      </c>
      <c r="N66" s="624"/>
      <c r="O66" s="625"/>
    </row>
    <row r="67" spans="4:15">
      <c r="D67" s="622"/>
      <c r="E67" s="214">
        <f>COUNTIF($Z$3:$Z$64,DATOS!O2)</f>
        <v>29</v>
      </c>
      <c r="F67" s="214">
        <f>COUNTIF($Z$3:$Z$64,DATOS!O3)</f>
        <v>32</v>
      </c>
      <c r="G67" s="214">
        <f>COUNTIF($Z$3:$Z$64,DATOS!O4)</f>
        <v>1</v>
      </c>
      <c r="H67" s="220">
        <f>SUM(E67:G67)</f>
        <v>62</v>
      </c>
      <c r="J67" s="622"/>
      <c r="K67" s="626">
        <f>COUNTIF(M3:$M$64,DATOS!Q2)</f>
        <v>16</v>
      </c>
      <c r="L67" s="626"/>
      <c r="M67" s="626">
        <f>COUNTIF($M3:$M$64,DATOS!Q3)</f>
        <v>2</v>
      </c>
      <c r="N67" s="627"/>
      <c r="O67" s="628"/>
    </row>
    <row r="69" spans="4:15" ht="27.75">
      <c r="D69" s="619" t="s">
        <v>129</v>
      </c>
      <c r="E69" s="209" t="str">
        <f>DATOS!G2</f>
        <v>INALÁMBRICO</v>
      </c>
      <c r="F69" s="209" t="str">
        <f>DATOS!G3</f>
        <v>ALÁMBRICO</v>
      </c>
      <c r="G69" s="221" t="str">
        <f>DATOS!G4</f>
        <v>ALÁMBRICO/INALÁMBRICO</v>
      </c>
      <c r="J69" s="538" t="s">
        <v>130</v>
      </c>
      <c r="K69" s="539"/>
      <c r="L69" s="539"/>
      <c r="M69" s="539"/>
      <c r="N69" s="539"/>
      <c r="O69" s="540"/>
    </row>
    <row r="70" spans="4:15">
      <c r="D70" s="620"/>
      <c r="E70" s="222">
        <f>COUNTIF(J3:$J$64,DATOS!G2)</f>
        <v>19</v>
      </c>
      <c r="F70" s="222">
        <f>COUNTIF(J3:J64,DATOS!G3)</f>
        <v>5</v>
      </c>
      <c r="G70" s="215">
        <f>COUNTIF($J3:$J$64,DATOS!G4)</f>
        <v>0</v>
      </c>
    </row>
    <row r="91" ht="35.25" customHeight="1"/>
  </sheetData>
  <mergeCells count="9">
    <mergeCell ref="A1:AA1"/>
    <mergeCell ref="D69:D70"/>
    <mergeCell ref="J69:O69"/>
    <mergeCell ref="D66:D67"/>
    <mergeCell ref="J66:J67"/>
    <mergeCell ref="K66:L66"/>
    <mergeCell ref="M66:O66"/>
    <mergeCell ref="K67:L67"/>
    <mergeCell ref="M67:O67"/>
  </mergeCells>
  <dataValidations count="1">
    <dataValidation allowBlank="1" showInputMessage="1" showErrorMessage="1" sqref="V3 Q40:Q64 Q3:Q4 Y3:Y4 Y7:Y64 Q7:Q37" xr:uid="{CC4D5158-14C3-454B-A23C-F37E9A1C6DB6}"/>
  </dataValidations>
  <hyperlinks>
    <hyperlink ref="J69" location="RANGO!A1" display="REGRESAR A LA PESTALLA PRINCIPAL" xr:uid="{6021B917-754D-42A5-9D4B-3446159BCD42}"/>
  </hyperlink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CB9AEA8-7055-4702-B9CF-1B11C107B401}">
            <xm:f>NOT(ISERROR(SEARCH(DATOS!$O$2,H3)))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F1FD70DE-3269-453A-84DC-C4B68A1CB039}">
            <xm:f>NOT(ISERROR(SEARCH(DATOS!$O$3,H3)))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A909FA89-4D69-4433-BF04-183E8114BDB7}">
            <xm:f>NOT(ISERROR(SEARCH(DATOS!$O$4,H3)))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Z3:Z64 H13:M13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7736D13-E008-4198-A3A8-03E0AFD72F32}">
          <x14:formula1>
            <xm:f>DATOS!$Q$2:$Q$3</xm:f>
          </x14:formula1>
          <xm:sqref>M21:M64 M3:M4 M6:M19</xm:sqref>
        </x14:dataValidation>
        <x14:dataValidation type="list" allowBlank="1" showInputMessage="1" showErrorMessage="1" xr:uid="{DBA1ED1E-065E-45D4-83AF-F3695CEF031C}">
          <x14:formula1>
            <xm:f>DATOS!$E$2:$E$7</xm:f>
          </x14:formula1>
          <xm:sqref>D21:D64 D3 D6:D19</xm:sqref>
        </x14:dataValidation>
        <x14:dataValidation type="list" allowBlank="1" showInputMessage="1" showErrorMessage="1" xr:uid="{657D7229-DB2E-48B4-8FA9-3C7A96DBFFE9}">
          <x14:formula1>
            <xm:f>DATOS!$C$2:$C$13</xm:f>
          </x14:formula1>
          <xm:sqref>L35:L64 L21:L33 L3 L6:L19</xm:sqref>
        </x14:dataValidation>
        <x14:dataValidation type="list" allowBlank="1" showInputMessage="1" showErrorMessage="1" xr:uid="{D41117FD-360B-4199-A8D8-A59EC0C99E96}">
          <x14:formula1>
            <xm:f>DATOS!$I$2:$I$3</xm:f>
          </x14:formula1>
          <xm:sqref>K35:K64 K21:K33 K3 K6:K19</xm:sqref>
        </x14:dataValidation>
        <x14:dataValidation type="list" allowBlank="1" showInputMessage="1" showErrorMessage="1" xr:uid="{CBB698FD-BE74-461D-941B-0DFCE914AB4C}">
          <x14:formula1>
            <xm:f>DATOS!$G$2:$G$4</xm:f>
          </x14:formula1>
          <xm:sqref>J35:J64 J21:J33 J3 J6:J19</xm:sqref>
        </x14:dataValidation>
        <x14:dataValidation type="list" allowBlank="1" showInputMessage="1" showErrorMessage="1" xr:uid="{B69624A7-FBF3-4FA3-A135-0CD0DAE122E7}">
          <x14:formula1>
            <xm:f>DATOS!$K$2:$K$13</xm:f>
          </x14:formula1>
          <xm:sqref>F35:F64 F21:F33 F3 F6:F19</xm:sqref>
        </x14:dataValidation>
        <x14:dataValidation type="list" allowBlank="1" showInputMessage="1" showErrorMessage="1" xr:uid="{031BFC94-1EF1-4D04-B64A-5CBD93198C09}">
          <x14:formula1>
            <xm:f>DATOS!$M$2:$M$3</xm:f>
          </x14:formula1>
          <xm:sqref>E21:E64 E3 E6:E19</xm:sqref>
        </x14:dataValidation>
        <x14:dataValidation type="list" allowBlank="1" showInputMessage="1" showErrorMessage="1" xr:uid="{7A0E0AF0-7752-4AA4-8AC1-55A2C601FE1D}">
          <x14:formula1>
            <xm:f>DATOS!$O$2:$O$4</xm:f>
          </x14:formula1>
          <xm:sqref>Z3:Z64</xm:sqref>
        </x14:dataValidation>
        <x14:dataValidation type="list" allowBlank="1" showInputMessage="1" showErrorMessage="1" xr:uid="{13AA6450-C15D-4C4D-8115-9D0152CF6E89}">
          <x14:formula1>
            <xm:f>DATOS!$R$2:$R$3</xm:f>
          </x14:formula1>
          <xm:sqref>Q38:T39 R40:T64 R3:U4 W3:X4 R16:X16 V4 N3:P4 N7:P64 R7:T37 U7:X64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B0B4-E532-41AF-A88F-52E695797CA3}">
  <sheetPr>
    <tabColor rgb="FFDCAFE3"/>
  </sheetPr>
  <dimension ref="A1:AA91"/>
  <sheetViews>
    <sheetView workbookViewId="0">
      <pane ySplit="2" topLeftCell="A30" activePane="bottomLeft" state="frozen"/>
      <selection pane="bottomLeft" activeCell="Q1" sqref="Q1"/>
      <selection activeCell="Q1" sqref="Q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5.57031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631" t="str">
        <f>RANGO!E12</f>
        <v>DIRECCIÓN DE COMUNICACIÓN SOCIAL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3"/>
    </row>
    <row r="2" spans="1:27" ht="55.5">
      <c r="A2" s="165" t="s">
        <v>33</v>
      </c>
      <c r="B2" s="166" t="s">
        <v>34</v>
      </c>
      <c r="C2" s="167" t="s">
        <v>35</v>
      </c>
      <c r="D2" s="167" t="s">
        <v>36</v>
      </c>
      <c r="E2" s="167" t="s">
        <v>37</v>
      </c>
      <c r="F2" s="166" t="s">
        <v>38</v>
      </c>
      <c r="G2" s="166" t="s">
        <v>39</v>
      </c>
      <c r="H2" s="167" t="s">
        <v>40</v>
      </c>
      <c r="I2" s="167" t="s">
        <v>41</v>
      </c>
      <c r="J2" s="167" t="s">
        <v>42</v>
      </c>
      <c r="K2" s="167" t="s">
        <v>43</v>
      </c>
      <c r="L2" s="167" t="s">
        <v>44</v>
      </c>
      <c r="M2" s="167" t="s">
        <v>45</v>
      </c>
      <c r="N2" s="167" t="s">
        <v>46</v>
      </c>
      <c r="O2" s="167" t="s">
        <v>47</v>
      </c>
      <c r="P2" s="167" t="s">
        <v>48</v>
      </c>
      <c r="Q2" s="167" t="s">
        <v>49</v>
      </c>
      <c r="R2" s="167" t="s">
        <v>50</v>
      </c>
      <c r="S2" s="167" t="s">
        <v>51</v>
      </c>
      <c r="T2" s="167" t="s">
        <v>52</v>
      </c>
      <c r="U2" s="167" t="s">
        <v>53</v>
      </c>
      <c r="V2" s="167" t="s">
        <v>54</v>
      </c>
      <c r="W2" s="167" t="s">
        <v>55</v>
      </c>
      <c r="X2" s="167" t="s">
        <v>56</v>
      </c>
      <c r="Y2" s="167" t="s">
        <v>57</v>
      </c>
      <c r="Z2" s="166" t="s">
        <v>58</v>
      </c>
      <c r="AA2" s="168" t="s">
        <v>59</v>
      </c>
    </row>
    <row r="3" spans="1:27">
      <c r="A3" s="233">
        <v>1</v>
      </c>
      <c r="B3" s="229" t="s">
        <v>26</v>
      </c>
      <c r="C3" s="498" t="s">
        <v>811</v>
      </c>
      <c r="D3" s="229" t="s">
        <v>81</v>
      </c>
      <c r="E3" s="229"/>
      <c r="F3" s="229"/>
      <c r="G3" s="153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34" t="s">
        <v>110</v>
      </c>
      <c r="AA3" s="235"/>
    </row>
    <row r="4" spans="1:27">
      <c r="A4" s="233">
        <v>2</v>
      </c>
      <c r="B4" s="229" t="s">
        <v>812</v>
      </c>
      <c r="C4" s="498" t="s">
        <v>813</v>
      </c>
      <c r="D4" s="229" t="s">
        <v>61</v>
      </c>
      <c r="E4" s="229" t="s">
        <v>82</v>
      </c>
      <c r="F4" s="229" t="s">
        <v>83</v>
      </c>
      <c r="G4" s="229" t="s">
        <v>95</v>
      </c>
      <c r="H4" s="229" t="s">
        <v>85</v>
      </c>
      <c r="I4" s="229" t="s">
        <v>814</v>
      </c>
      <c r="J4" s="229" t="s">
        <v>65</v>
      </c>
      <c r="K4" s="229" t="s">
        <v>66</v>
      </c>
      <c r="L4" s="229" t="s">
        <v>246</v>
      </c>
      <c r="M4" s="229" t="s">
        <v>78</v>
      </c>
      <c r="N4" s="229" t="s">
        <v>69</v>
      </c>
      <c r="O4" s="229" t="s">
        <v>90</v>
      </c>
      <c r="P4" s="229" t="s">
        <v>70</v>
      </c>
      <c r="Q4" s="229" t="s">
        <v>70</v>
      </c>
      <c r="R4" s="229" t="s">
        <v>69</v>
      </c>
      <c r="S4" s="229" t="s">
        <v>69</v>
      </c>
      <c r="T4" s="229" t="s">
        <v>69</v>
      </c>
      <c r="U4" s="229" t="s">
        <v>69</v>
      </c>
      <c r="V4" s="229" t="s">
        <v>70</v>
      </c>
      <c r="W4" s="229" t="s">
        <v>674</v>
      </c>
      <c r="X4" s="229" t="s">
        <v>674</v>
      </c>
      <c r="Y4" s="229" t="s">
        <v>313</v>
      </c>
      <c r="Z4" s="234" t="s">
        <v>73</v>
      </c>
      <c r="AA4" s="235"/>
    </row>
    <row r="5" spans="1:27">
      <c r="A5" s="233">
        <v>3</v>
      </c>
      <c r="B5" s="229" t="s">
        <v>815</v>
      </c>
      <c r="C5" s="436" t="s">
        <v>816</v>
      </c>
      <c r="D5" s="1" t="s">
        <v>92</v>
      </c>
      <c r="E5" s="1" t="s">
        <v>62</v>
      </c>
      <c r="Z5" s="234" t="s">
        <v>73</v>
      </c>
      <c r="AA5" s="235"/>
    </row>
    <row r="6" spans="1:27">
      <c r="A6" s="233">
        <v>4</v>
      </c>
      <c r="B6" s="229" t="s">
        <v>817</v>
      </c>
      <c r="C6" s="435" t="s">
        <v>818</v>
      </c>
      <c r="D6" s="229" t="s">
        <v>61</v>
      </c>
      <c r="E6" s="229" t="s">
        <v>82</v>
      </c>
      <c r="F6" s="229" t="s">
        <v>83</v>
      </c>
      <c r="G6" s="229"/>
      <c r="H6" s="229"/>
      <c r="I6" s="229"/>
      <c r="J6" s="229"/>
      <c r="K6" s="229"/>
      <c r="L6" s="229" t="s">
        <v>246</v>
      </c>
      <c r="M6" s="229" t="s">
        <v>68</v>
      </c>
      <c r="N6" s="229" t="s">
        <v>69</v>
      </c>
      <c r="O6" s="229" t="s">
        <v>90</v>
      </c>
      <c r="P6" s="229" t="s">
        <v>70</v>
      </c>
      <c r="Q6" s="229" t="s">
        <v>70</v>
      </c>
      <c r="R6" s="229" t="s">
        <v>69</v>
      </c>
      <c r="S6" s="229" t="s">
        <v>69</v>
      </c>
      <c r="T6" s="229" t="s">
        <v>69</v>
      </c>
      <c r="U6" s="229" t="s">
        <v>69</v>
      </c>
      <c r="V6" s="229" t="s">
        <v>70</v>
      </c>
      <c r="W6" s="229" t="s">
        <v>69</v>
      </c>
      <c r="X6" s="229" t="s">
        <v>69</v>
      </c>
      <c r="Y6" s="229" t="s">
        <v>819</v>
      </c>
      <c r="Z6" s="234" t="s">
        <v>73</v>
      </c>
      <c r="AA6" s="235"/>
    </row>
    <row r="7" spans="1:27">
      <c r="A7" s="233">
        <v>5</v>
      </c>
      <c r="B7" s="229" t="s">
        <v>820</v>
      </c>
      <c r="C7" s="498" t="s">
        <v>821</v>
      </c>
      <c r="D7" s="229" t="s">
        <v>155</v>
      </c>
      <c r="E7" s="229" t="s">
        <v>62</v>
      </c>
      <c r="F7" s="229" t="s">
        <v>138</v>
      </c>
      <c r="G7" s="229"/>
      <c r="H7" s="229"/>
      <c r="I7" s="229"/>
      <c r="J7" s="229"/>
      <c r="K7" s="229"/>
      <c r="L7" s="229" t="s">
        <v>246</v>
      </c>
      <c r="M7" s="229" t="s">
        <v>68</v>
      </c>
      <c r="N7" s="229" t="s">
        <v>69</v>
      </c>
      <c r="O7" s="229" t="s">
        <v>90</v>
      </c>
      <c r="P7" s="229" t="s">
        <v>90</v>
      </c>
      <c r="Q7" s="229" t="s">
        <v>70</v>
      </c>
      <c r="R7" s="229" t="s">
        <v>69</v>
      </c>
      <c r="S7" s="229" t="s">
        <v>69</v>
      </c>
      <c r="T7" s="229" t="s">
        <v>69</v>
      </c>
      <c r="U7" s="229" t="s">
        <v>69</v>
      </c>
      <c r="V7" s="229" t="s">
        <v>70</v>
      </c>
      <c r="W7" s="229" t="s">
        <v>69</v>
      </c>
      <c r="X7" s="229" t="s">
        <v>69</v>
      </c>
      <c r="Y7" s="229" t="s">
        <v>822</v>
      </c>
      <c r="Z7" s="234" t="s">
        <v>73</v>
      </c>
      <c r="AA7" s="235"/>
    </row>
    <row r="8" spans="1:27">
      <c r="A8" s="233">
        <v>6</v>
      </c>
      <c r="B8" s="229" t="s">
        <v>823</v>
      </c>
      <c r="C8" s="498" t="s">
        <v>824</v>
      </c>
      <c r="D8" s="229" t="s">
        <v>92</v>
      </c>
      <c r="E8" s="229" t="s">
        <v>62</v>
      </c>
      <c r="F8" s="229" t="s">
        <v>138</v>
      </c>
      <c r="G8" s="229"/>
      <c r="H8" s="229"/>
      <c r="I8" s="229"/>
      <c r="J8" s="229"/>
      <c r="K8" s="229"/>
      <c r="L8" s="229" t="s">
        <v>246</v>
      </c>
      <c r="M8" s="229" t="s">
        <v>68</v>
      </c>
      <c r="N8" s="229" t="s">
        <v>69</v>
      </c>
      <c r="O8" s="229" t="s">
        <v>90</v>
      </c>
      <c r="P8" s="229" t="s">
        <v>90</v>
      </c>
      <c r="Q8" s="229" t="s">
        <v>70</v>
      </c>
      <c r="R8" s="229" t="s">
        <v>69</v>
      </c>
      <c r="S8" s="229" t="s">
        <v>69</v>
      </c>
      <c r="T8" s="229" t="s">
        <v>69</v>
      </c>
      <c r="U8" s="229" t="s">
        <v>69</v>
      </c>
      <c r="V8" s="229" t="s">
        <v>313</v>
      </c>
      <c r="W8" s="229" t="s">
        <v>69</v>
      </c>
      <c r="X8" s="229" t="s">
        <v>69</v>
      </c>
      <c r="Y8" s="229" t="s">
        <v>70</v>
      </c>
      <c r="Z8" s="234" t="s">
        <v>110</v>
      </c>
      <c r="AA8" s="235"/>
    </row>
    <row r="9" spans="1:27">
      <c r="A9" s="233">
        <v>7</v>
      </c>
      <c r="B9" s="229" t="s">
        <v>825</v>
      </c>
      <c r="C9" s="435" t="s">
        <v>818</v>
      </c>
      <c r="D9" s="229" t="s">
        <v>92</v>
      </c>
      <c r="E9" s="229" t="s">
        <v>62</v>
      </c>
      <c r="F9" s="229" t="s">
        <v>188</v>
      </c>
      <c r="G9" s="229"/>
      <c r="H9" s="229"/>
      <c r="I9" s="229"/>
      <c r="J9" s="229"/>
      <c r="K9" s="229"/>
      <c r="L9" s="229" t="s">
        <v>246</v>
      </c>
      <c r="M9" s="229" t="s">
        <v>68</v>
      </c>
      <c r="N9" s="229" t="s">
        <v>69</v>
      </c>
      <c r="O9" s="229" t="s">
        <v>90</v>
      </c>
      <c r="P9" s="229" t="s">
        <v>70</v>
      </c>
      <c r="Q9" s="229" t="s">
        <v>70</v>
      </c>
      <c r="R9" s="229" t="s">
        <v>69</v>
      </c>
      <c r="S9" s="229" t="s">
        <v>69</v>
      </c>
      <c r="T9" s="229" t="s">
        <v>69</v>
      </c>
      <c r="U9" s="229" t="s">
        <v>69</v>
      </c>
      <c r="V9" s="229" t="s">
        <v>70</v>
      </c>
      <c r="W9" s="229" t="s">
        <v>69</v>
      </c>
      <c r="X9" s="229" t="s">
        <v>69</v>
      </c>
      <c r="Y9" s="229" t="s">
        <v>819</v>
      </c>
      <c r="Z9" s="234" t="s">
        <v>110</v>
      </c>
      <c r="AA9" s="235"/>
    </row>
    <row r="10" spans="1:27">
      <c r="A10" s="233">
        <v>8</v>
      </c>
      <c r="B10" s="229" t="s">
        <v>826</v>
      </c>
      <c r="C10" s="498" t="s">
        <v>827</v>
      </c>
      <c r="D10" s="229" t="s">
        <v>61</v>
      </c>
      <c r="E10" s="229" t="s">
        <v>82</v>
      </c>
      <c r="F10" s="229" t="s">
        <v>83</v>
      </c>
      <c r="G10" s="229" t="s">
        <v>95</v>
      </c>
      <c r="H10" s="229" t="s">
        <v>85</v>
      </c>
      <c r="I10" s="229" t="s">
        <v>828</v>
      </c>
      <c r="J10" s="229" t="s">
        <v>65</v>
      </c>
      <c r="K10" s="229" t="s">
        <v>66</v>
      </c>
      <c r="L10" s="229" t="s">
        <v>246</v>
      </c>
      <c r="M10" s="229" t="s">
        <v>68</v>
      </c>
      <c r="N10" s="229" t="s">
        <v>90</v>
      </c>
      <c r="O10" s="229" t="s">
        <v>90</v>
      </c>
      <c r="P10" s="229" t="s">
        <v>90</v>
      </c>
      <c r="Q10" s="229" t="s">
        <v>70</v>
      </c>
      <c r="R10" s="229" t="s">
        <v>90</v>
      </c>
      <c r="S10" s="229" t="s">
        <v>70</v>
      </c>
      <c r="T10" s="229" t="s">
        <v>90</v>
      </c>
      <c r="U10" s="229" t="s">
        <v>69</v>
      </c>
      <c r="V10" s="229" t="s">
        <v>70</v>
      </c>
      <c r="W10" s="229" t="s">
        <v>69</v>
      </c>
      <c r="X10" s="229" t="s">
        <v>69</v>
      </c>
      <c r="Y10" s="229" t="s">
        <v>70</v>
      </c>
      <c r="Z10" s="234" t="s">
        <v>73</v>
      </c>
      <c r="AA10" s="235"/>
    </row>
    <row r="11" spans="1:27">
      <c r="A11" s="233">
        <v>9</v>
      </c>
      <c r="B11" s="229" t="s">
        <v>829</v>
      </c>
      <c r="C11" s="498" t="s">
        <v>830</v>
      </c>
      <c r="D11" s="229"/>
      <c r="E11" s="229"/>
      <c r="F11" s="229"/>
      <c r="G11" s="229"/>
      <c r="H11" s="229"/>
      <c r="I11" s="229"/>
      <c r="J11" s="229"/>
      <c r="K11" s="229" t="s">
        <v>66</v>
      </c>
      <c r="L11" s="229" t="s">
        <v>246</v>
      </c>
      <c r="M11" s="229"/>
      <c r="N11" s="229" t="s">
        <v>69</v>
      </c>
      <c r="O11" s="229" t="s">
        <v>90</v>
      </c>
      <c r="P11" s="229" t="s">
        <v>90</v>
      </c>
      <c r="Q11" s="229" t="s">
        <v>70</v>
      </c>
      <c r="R11" s="229" t="s">
        <v>69</v>
      </c>
      <c r="S11" s="229" t="s">
        <v>69</v>
      </c>
      <c r="T11" s="229" t="s">
        <v>69</v>
      </c>
      <c r="U11" s="229" t="s">
        <v>69</v>
      </c>
      <c r="V11" s="229" t="s">
        <v>70</v>
      </c>
      <c r="W11" s="229" t="s">
        <v>69</v>
      </c>
      <c r="X11" s="229" t="s">
        <v>69</v>
      </c>
      <c r="Y11" s="229" t="s">
        <v>822</v>
      </c>
      <c r="Z11" s="234" t="s">
        <v>110</v>
      </c>
      <c r="AA11" s="235"/>
    </row>
    <row r="12" spans="1:27">
      <c r="A12" s="233">
        <v>10</v>
      </c>
      <c r="B12" s="229" t="s">
        <v>831</v>
      </c>
      <c r="C12" s="435" t="s">
        <v>832</v>
      </c>
      <c r="D12" s="229" t="s">
        <v>92</v>
      </c>
      <c r="E12" s="229" t="s">
        <v>62</v>
      </c>
      <c r="F12" s="229" t="s">
        <v>57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34" t="s">
        <v>73</v>
      </c>
      <c r="AA12" s="235"/>
    </row>
    <row r="13" spans="1:27">
      <c r="A13" s="233">
        <v>11</v>
      </c>
      <c r="B13" s="229" t="s">
        <v>833</v>
      </c>
      <c r="C13" s="498" t="s">
        <v>834</v>
      </c>
      <c r="D13" s="229" t="s">
        <v>81</v>
      </c>
      <c r="E13" s="229" t="s">
        <v>82</v>
      </c>
      <c r="F13" s="229" t="s">
        <v>83</v>
      </c>
      <c r="G13" s="87" t="s">
        <v>95</v>
      </c>
      <c r="H13" s="229"/>
      <c r="I13" s="229"/>
      <c r="J13" s="229"/>
      <c r="K13" s="229"/>
      <c r="L13" s="229" t="s">
        <v>246</v>
      </c>
      <c r="M13" s="229"/>
      <c r="N13" s="229" t="s">
        <v>69</v>
      </c>
      <c r="O13" s="229" t="s">
        <v>90</v>
      </c>
      <c r="P13" s="229" t="s">
        <v>70</v>
      </c>
      <c r="Q13" s="229"/>
      <c r="R13" s="229" t="s">
        <v>70</v>
      </c>
      <c r="S13" s="229" t="s">
        <v>70</v>
      </c>
      <c r="T13" s="229" t="s">
        <v>70</v>
      </c>
      <c r="U13" s="229" t="s">
        <v>69</v>
      </c>
      <c r="V13" s="229" t="s">
        <v>70</v>
      </c>
      <c r="W13" s="229" t="s">
        <v>69</v>
      </c>
      <c r="X13" s="229" t="s">
        <v>69</v>
      </c>
      <c r="Y13" s="229" t="s">
        <v>70</v>
      </c>
      <c r="Z13" s="234" t="s">
        <v>73</v>
      </c>
      <c r="AA13" s="235" t="s">
        <v>835</v>
      </c>
    </row>
    <row r="14" spans="1:27">
      <c r="A14" s="233">
        <v>12</v>
      </c>
      <c r="B14" s="229" t="s">
        <v>836</v>
      </c>
      <c r="C14" s="499" t="s">
        <v>837</v>
      </c>
      <c r="D14" s="1" t="s">
        <v>61</v>
      </c>
      <c r="E14" s="1" t="s">
        <v>62</v>
      </c>
      <c r="F14" s="1" t="s">
        <v>138</v>
      </c>
      <c r="Z14" s="234" t="s">
        <v>73</v>
      </c>
      <c r="AA14" s="235"/>
    </row>
    <row r="15" spans="1:27">
      <c r="A15" s="233">
        <v>13</v>
      </c>
      <c r="B15" s="229" t="s">
        <v>838</v>
      </c>
      <c r="C15" s="498" t="s">
        <v>839</v>
      </c>
      <c r="D15" s="229" t="s">
        <v>81</v>
      </c>
      <c r="E15" s="229" t="s">
        <v>82</v>
      </c>
      <c r="F15" s="229" t="s">
        <v>83</v>
      </c>
      <c r="G15" s="229" t="s">
        <v>99</v>
      </c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34" t="s">
        <v>110</v>
      </c>
      <c r="AA15" s="235"/>
    </row>
    <row r="16" spans="1:27">
      <c r="A16" s="233">
        <v>14</v>
      </c>
      <c r="B16" s="229" t="s">
        <v>840</v>
      </c>
      <c r="C16" s="435" t="s">
        <v>841</v>
      </c>
      <c r="D16" s="229" t="s">
        <v>155</v>
      </c>
      <c r="E16" s="229" t="s">
        <v>62</v>
      </c>
      <c r="F16" s="229"/>
      <c r="G16" s="284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34" t="s">
        <v>110</v>
      </c>
      <c r="AA16" s="235"/>
    </row>
    <row r="17" spans="1:27">
      <c r="A17" s="233">
        <v>15</v>
      </c>
      <c r="B17" s="229" t="s">
        <v>842</v>
      </c>
      <c r="C17" s="498" t="s">
        <v>843</v>
      </c>
      <c r="D17" s="229" t="s">
        <v>81</v>
      </c>
      <c r="E17" s="229" t="s">
        <v>82</v>
      </c>
      <c r="F17" s="229" t="s">
        <v>83</v>
      </c>
      <c r="G17" s="229" t="s">
        <v>84</v>
      </c>
      <c r="H17" s="229" t="s">
        <v>85</v>
      </c>
      <c r="I17" s="229" t="s">
        <v>844</v>
      </c>
      <c r="J17" s="229" t="s">
        <v>87</v>
      </c>
      <c r="K17" s="229" t="s">
        <v>66</v>
      </c>
      <c r="L17" s="229" t="s">
        <v>246</v>
      </c>
      <c r="M17" s="229" t="s">
        <v>68</v>
      </c>
      <c r="N17" s="229" t="s">
        <v>69</v>
      </c>
      <c r="O17" s="229" t="s">
        <v>69</v>
      </c>
      <c r="P17" s="229" t="s">
        <v>69</v>
      </c>
      <c r="Q17" s="229" t="s">
        <v>70</v>
      </c>
      <c r="R17" s="229" t="s">
        <v>69</v>
      </c>
      <c r="S17" s="229" t="s">
        <v>69</v>
      </c>
      <c r="T17" s="229" t="s">
        <v>69</v>
      </c>
      <c r="U17" s="229" t="s">
        <v>69</v>
      </c>
      <c r="V17" s="229" t="s">
        <v>70</v>
      </c>
      <c r="W17" s="229" t="s">
        <v>69</v>
      </c>
      <c r="X17" s="229" t="s">
        <v>69</v>
      </c>
      <c r="Y17" s="229" t="s">
        <v>70</v>
      </c>
      <c r="Z17" s="234" t="s">
        <v>73</v>
      </c>
      <c r="AA17" s="236"/>
    </row>
    <row r="18" spans="1:27">
      <c r="A18" s="233">
        <v>16</v>
      </c>
      <c r="B18" s="229" t="s">
        <v>845</v>
      </c>
      <c r="C18" s="435" t="s">
        <v>846</v>
      </c>
      <c r="D18" s="229" t="s">
        <v>92</v>
      </c>
      <c r="E18" s="229" t="s">
        <v>62</v>
      </c>
      <c r="F18" s="229" t="s">
        <v>138</v>
      </c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34" t="s">
        <v>110</v>
      </c>
      <c r="AA18" s="236"/>
    </row>
    <row r="19" spans="1:27" s="248" customFormat="1">
      <c r="A19" s="233">
        <v>17</v>
      </c>
      <c r="B19" s="229" t="s">
        <v>847</v>
      </c>
      <c r="C19" s="435" t="s">
        <v>848</v>
      </c>
      <c r="D19" s="229" t="s">
        <v>61</v>
      </c>
      <c r="E19" s="229" t="s">
        <v>82</v>
      </c>
      <c r="F19" s="229" t="s">
        <v>83</v>
      </c>
      <c r="G19" s="229"/>
      <c r="H19" s="229"/>
      <c r="I19" s="229"/>
      <c r="J19" s="229"/>
      <c r="K19" s="229"/>
      <c r="L19" s="229" t="s">
        <v>246</v>
      </c>
      <c r="M19" s="229" t="s">
        <v>68</v>
      </c>
      <c r="N19" s="229" t="s">
        <v>69</v>
      </c>
      <c r="O19" s="229" t="s">
        <v>90</v>
      </c>
      <c r="P19" s="229" t="s">
        <v>195</v>
      </c>
      <c r="Q19" s="229" t="s">
        <v>195</v>
      </c>
      <c r="R19" s="229" t="s">
        <v>90</v>
      </c>
      <c r="S19" s="229" t="s">
        <v>195</v>
      </c>
      <c r="T19" s="229" t="s">
        <v>90</v>
      </c>
      <c r="U19" s="229" t="s">
        <v>69</v>
      </c>
      <c r="V19" s="229" t="s">
        <v>195</v>
      </c>
      <c r="W19" s="229" t="s">
        <v>69</v>
      </c>
      <c r="X19" s="229" t="s">
        <v>69</v>
      </c>
      <c r="Y19" s="229" t="s">
        <v>195</v>
      </c>
      <c r="Z19" s="234" t="s">
        <v>73</v>
      </c>
      <c r="AA19" s="236"/>
    </row>
    <row r="20" spans="1:27">
      <c r="A20" s="233">
        <v>18</v>
      </c>
      <c r="B20" s="229" t="s">
        <v>849</v>
      </c>
      <c r="C20" s="498" t="s">
        <v>850</v>
      </c>
      <c r="D20" s="229" t="s">
        <v>81</v>
      </c>
      <c r="E20" s="229" t="s">
        <v>82</v>
      </c>
      <c r="F20" s="229" t="s">
        <v>83</v>
      </c>
      <c r="G20" s="229"/>
      <c r="H20" s="229"/>
      <c r="I20" s="229"/>
      <c r="J20" s="229"/>
      <c r="K20" s="229"/>
      <c r="L20" s="229" t="s">
        <v>246</v>
      </c>
      <c r="M20" s="229" t="s">
        <v>68</v>
      </c>
      <c r="N20" s="229" t="s">
        <v>90</v>
      </c>
      <c r="O20" s="229" t="s">
        <v>90</v>
      </c>
      <c r="P20" s="229" t="s">
        <v>90</v>
      </c>
      <c r="Q20" s="229" t="s">
        <v>195</v>
      </c>
      <c r="R20" s="229" t="s">
        <v>90</v>
      </c>
      <c r="S20" s="229" t="s">
        <v>90</v>
      </c>
      <c r="T20" s="229" t="s">
        <v>90</v>
      </c>
      <c r="U20" s="229" t="s">
        <v>69</v>
      </c>
      <c r="V20" s="229" t="s">
        <v>195</v>
      </c>
      <c r="W20" s="229" t="s">
        <v>69</v>
      </c>
      <c r="X20" s="229" t="s">
        <v>69</v>
      </c>
      <c r="Y20" s="229" t="s">
        <v>851</v>
      </c>
      <c r="Z20" s="234" t="s">
        <v>73</v>
      </c>
      <c r="AA20" s="236"/>
    </row>
    <row r="21" spans="1:27">
      <c r="A21" s="233">
        <v>19</v>
      </c>
      <c r="B21" s="229" t="s">
        <v>852</v>
      </c>
      <c r="C21" s="498" t="s">
        <v>853</v>
      </c>
      <c r="D21" s="229" t="s">
        <v>61</v>
      </c>
      <c r="E21" s="229" t="s">
        <v>82</v>
      </c>
      <c r="F21" s="229" t="s">
        <v>83</v>
      </c>
      <c r="G21" s="229" t="s">
        <v>95</v>
      </c>
      <c r="H21" s="229" t="s">
        <v>85</v>
      </c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34" t="s">
        <v>110</v>
      </c>
      <c r="AA21" s="236"/>
    </row>
    <row r="22" spans="1:27">
      <c r="A22" s="233">
        <v>20</v>
      </c>
      <c r="B22" s="229" t="s">
        <v>854</v>
      </c>
      <c r="C22" s="498" t="s">
        <v>830</v>
      </c>
      <c r="D22" s="229" t="s">
        <v>61</v>
      </c>
      <c r="E22" s="229" t="s">
        <v>82</v>
      </c>
      <c r="F22" s="229" t="s">
        <v>83</v>
      </c>
      <c r="G22" s="229"/>
      <c r="H22" s="229"/>
      <c r="I22" s="229"/>
      <c r="J22" s="229"/>
      <c r="K22" s="229"/>
      <c r="L22" s="229" t="s">
        <v>246</v>
      </c>
      <c r="M22" s="229" t="s">
        <v>68</v>
      </c>
      <c r="N22" s="229" t="s">
        <v>69</v>
      </c>
      <c r="O22" s="229" t="s">
        <v>90</v>
      </c>
      <c r="P22" s="229" t="s">
        <v>90</v>
      </c>
      <c r="Q22" s="229" t="s">
        <v>70</v>
      </c>
      <c r="R22" s="229" t="s">
        <v>69</v>
      </c>
      <c r="S22" s="229" t="s">
        <v>69</v>
      </c>
      <c r="T22" s="229" t="s">
        <v>69</v>
      </c>
      <c r="U22" s="229" t="s">
        <v>69</v>
      </c>
      <c r="V22" s="229" t="s">
        <v>70</v>
      </c>
      <c r="W22" s="229" t="s">
        <v>69</v>
      </c>
      <c r="X22" s="229" t="s">
        <v>69</v>
      </c>
      <c r="Y22" s="229" t="s">
        <v>70</v>
      </c>
      <c r="Z22" s="234" t="s">
        <v>73</v>
      </c>
      <c r="AA22" s="236"/>
    </row>
    <row r="23" spans="1:27">
      <c r="A23" s="233">
        <v>21</v>
      </c>
      <c r="B23" s="229" t="s">
        <v>855</v>
      </c>
      <c r="C23" s="498" t="s">
        <v>856</v>
      </c>
      <c r="D23" s="229" t="s">
        <v>61</v>
      </c>
      <c r="E23" s="229" t="s">
        <v>82</v>
      </c>
      <c r="F23" s="229" t="s">
        <v>83</v>
      </c>
      <c r="G23" s="229" t="s">
        <v>95</v>
      </c>
      <c r="H23" s="229" t="s">
        <v>85</v>
      </c>
      <c r="I23" s="229" t="s">
        <v>857</v>
      </c>
      <c r="J23" s="229" t="s">
        <v>87</v>
      </c>
      <c r="K23" s="229" t="s">
        <v>66</v>
      </c>
      <c r="L23" s="229" t="s">
        <v>246</v>
      </c>
      <c r="M23" s="229" t="s">
        <v>68</v>
      </c>
      <c r="N23" s="229" t="s">
        <v>69</v>
      </c>
      <c r="O23" s="229" t="s">
        <v>90</v>
      </c>
      <c r="P23" s="229" t="s">
        <v>195</v>
      </c>
      <c r="Q23" s="229" t="s">
        <v>195</v>
      </c>
      <c r="R23" s="229" t="s">
        <v>69</v>
      </c>
      <c r="S23" s="229" t="s">
        <v>69</v>
      </c>
      <c r="T23" s="229" t="s">
        <v>69</v>
      </c>
      <c r="U23" s="229" t="s">
        <v>69</v>
      </c>
      <c r="V23" s="229" t="s">
        <v>858</v>
      </c>
      <c r="W23" s="229" t="s">
        <v>69</v>
      </c>
      <c r="X23" s="229" t="s">
        <v>69</v>
      </c>
      <c r="Y23" s="229" t="s">
        <v>195</v>
      </c>
      <c r="Z23" s="234" t="s">
        <v>73</v>
      </c>
      <c r="AA23" s="236"/>
    </row>
    <row r="24" spans="1:27">
      <c r="A24" s="233">
        <v>22</v>
      </c>
      <c r="B24" s="229" t="s">
        <v>859</v>
      </c>
      <c r="C24" s="499" t="s">
        <v>860</v>
      </c>
      <c r="D24" s="229" t="s">
        <v>92</v>
      </c>
      <c r="E24" s="229" t="s">
        <v>62</v>
      </c>
      <c r="F24" s="229" t="s">
        <v>138</v>
      </c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34" t="s">
        <v>110</v>
      </c>
      <c r="AA24" s="236"/>
    </row>
    <row r="25" spans="1:27">
      <c r="A25" s="233">
        <v>23</v>
      </c>
      <c r="B25" s="229" t="s">
        <v>861</v>
      </c>
      <c r="C25" s="435" t="s">
        <v>837</v>
      </c>
      <c r="D25" s="229" t="s">
        <v>92</v>
      </c>
      <c r="E25" s="229" t="s">
        <v>62</v>
      </c>
      <c r="F25" s="229" t="s">
        <v>138</v>
      </c>
      <c r="G25" s="229"/>
      <c r="H25" s="229"/>
      <c r="I25" s="229"/>
      <c r="J25" s="229"/>
      <c r="K25" s="229"/>
      <c r="L25" s="229" t="s">
        <v>246</v>
      </c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34" t="s">
        <v>110</v>
      </c>
      <c r="AA25" s="236"/>
    </row>
    <row r="26" spans="1:27">
      <c r="A26" s="233">
        <v>24</v>
      </c>
      <c r="B26" s="229" t="s">
        <v>862</v>
      </c>
      <c r="C26" s="498" t="s">
        <v>863</v>
      </c>
      <c r="D26" s="229" t="s">
        <v>526</v>
      </c>
      <c r="E26" s="229" t="s">
        <v>62</v>
      </c>
      <c r="F26" s="229" t="s">
        <v>138</v>
      </c>
      <c r="G26" s="229" t="s">
        <v>864</v>
      </c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34" t="s">
        <v>110</v>
      </c>
      <c r="AA26" s="236"/>
    </row>
    <row r="27" spans="1:27">
      <c r="A27" s="233">
        <v>25</v>
      </c>
      <c r="B27" s="229" t="s">
        <v>865</v>
      </c>
      <c r="C27" s="501" t="s">
        <v>866</v>
      </c>
      <c r="D27" s="1" t="s">
        <v>526</v>
      </c>
      <c r="E27" s="1" t="s">
        <v>62</v>
      </c>
      <c r="F27" s="1" t="s">
        <v>138</v>
      </c>
      <c r="G27" s="1" t="s">
        <v>864</v>
      </c>
      <c r="Z27" s="234" t="s">
        <v>110</v>
      </c>
      <c r="AA27" s="236"/>
    </row>
    <row r="28" spans="1:27">
      <c r="A28" s="233">
        <v>26</v>
      </c>
      <c r="B28" s="229" t="s">
        <v>867</v>
      </c>
      <c r="C28" s="500" t="s">
        <v>868</v>
      </c>
      <c r="D28" s="1" t="s">
        <v>61</v>
      </c>
      <c r="E28" s="1" t="s">
        <v>62</v>
      </c>
      <c r="F28" s="1" t="s">
        <v>869</v>
      </c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4" t="s">
        <v>110</v>
      </c>
      <c r="AA28" s="236"/>
    </row>
    <row r="29" spans="1:27">
      <c r="A29" s="233">
        <v>27</v>
      </c>
      <c r="B29" s="229" t="s">
        <v>870</v>
      </c>
      <c r="C29" s="1" t="s">
        <v>871</v>
      </c>
      <c r="D29" s="229" t="s">
        <v>61</v>
      </c>
      <c r="E29" s="229" t="s">
        <v>82</v>
      </c>
      <c r="F29" s="229" t="s">
        <v>83</v>
      </c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34" t="s">
        <v>110</v>
      </c>
      <c r="AA29" s="236"/>
    </row>
    <row r="30" spans="1:27" s="272" customFormat="1">
      <c r="A30" s="233">
        <v>28</v>
      </c>
      <c r="B30" s="229" t="s">
        <v>872</v>
      </c>
      <c r="C30" s="435" t="s">
        <v>873</v>
      </c>
      <c r="D30" s="229" t="s">
        <v>61</v>
      </c>
      <c r="E30" s="229" t="s">
        <v>62</v>
      </c>
      <c r="F30" s="229"/>
      <c r="G30" s="229"/>
      <c r="H30" s="229"/>
      <c r="I30" s="229"/>
      <c r="J30" s="229"/>
      <c r="K30" s="229"/>
      <c r="L30" s="229" t="s">
        <v>246</v>
      </c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34" t="s">
        <v>110</v>
      </c>
      <c r="AA30" s="236"/>
    </row>
    <row r="31" spans="1:27" s="248" customFormat="1">
      <c r="A31" s="233">
        <v>29</v>
      </c>
      <c r="B31" s="229" t="s">
        <v>874</v>
      </c>
      <c r="C31" s="502" t="s">
        <v>875</v>
      </c>
      <c r="D31" s="229" t="s">
        <v>61</v>
      </c>
      <c r="E31" s="229" t="s">
        <v>62</v>
      </c>
      <c r="F31" s="229" t="s">
        <v>138</v>
      </c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34" t="s">
        <v>110</v>
      </c>
      <c r="AA31" s="236"/>
    </row>
    <row r="32" spans="1:27">
      <c r="A32" s="233">
        <v>30</v>
      </c>
      <c r="B32" s="229" t="s">
        <v>876</v>
      </c>
      <c r="C32" s="498" t="s">
        <v>877</v>
      </c>
      <c r="D32" s="229" t="s">
        <v>515</v>
      </c>
      <c r="E32" s="229" t="s">
        <v>82</v>
      </c>
      <c r="F32" s="229" t="s">
        <v>83</v>
      </c>
      <c r="G32" s="229" t="s">
        <v>99</v>
      </c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34" t="s">
        <v>110</v>
      </c>
      <c r="AA32" s="236"/>
    </row>
    <row r="33" spans="1:27">
      <c r="A33" s="233">
        <v>31</v>
      </c>
      <c r="B33" s="229" t="s">
        <v>878</v>
      </c>
      <c r="C33" s="435" t="s">
        <v>879</v>
      </c>
      <c r="D33" s="229" t="s">
        <v>155</v>
      </c>
      <c r="E33" s="229" t="s">
        <v>62</v>
      </c>
      <c r="F33" s="229" t="s">
        <v>138</v>
      </c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34" t="s">
        <v>110</v>
      </c>
      <c r="AA33" s="236"/>
    </row>
    <row r="34" spans="1:27">
      <c r="A34" s="233">
        <v>32</v>
      </c>
      <c r="B34" s="229" t="s">
        <v>880</v>
      </c>
      <c r="C34" s="435" t="s">
        <v>881</v>
      </c>
      <c r="D34" s="229" t="s">
        <v>92</v>
      </c>
      <c r="E34" s="229" t="s">
        <v>62</v>
      </c>
      <c r="F34" s="229"/>
      <c r="G34" s="229"/>
      <c r="H34" s="229"/>
      <c r="I34" s="229"/>
      <c r="J34" s="229"/>
      <c r="K34" s="229"/>
      <c r="L34" s="229" t="s">
        <v>246</v>
      </c>
      <c r="M34" s="229" t="s">
        <v>68</v>
      </c>
      <c r="N34" s="229" t="s">
        <v>90</v>
      </c>
      <c r="O34" s="229" t="s">
        <v>90</v>
      </c>
      <c r="P34" s="229" t="s">
        <v>90</v>
      </c>
      <c r="Q34" s="229" t="s">
        <v>195</v>
      </c>
      <c r="R34" s="229" t="s">
        <v>90</v>
      </c>
      <c r="S34" s="229" t="s">
        <v>90</v>
      </c>
      <c r="T34" s="229" t="s">
        <v>90</v>
      </c>
      <c r="U34" s="229" t="s">
        <v>69</v>
      </c>
      <c r="V34" s="229" t="s">
        <v>195</v>
      </c>
      <c r="W34" s="229" t="s">
        <v>69</v>
      </c>
      <c r="X34" s="229" t="s">
        <v>69</v>
      </c>
      <c r="Y34" s="229" t="s">
        <v>851</v>
      </c>
      <c r="Z34" s="234" t="s">
        <v>110</v>
      </c>
      <c r="AA34" s="236"/>
    </row>
    <row r="35" spans="1:27">
      <c r="A35" s="233">
        <v>33</v>
      </c>
      <c r="B35" s="229" t="s">
        <v>882</v>
      </c>
      <c r="C35" s="498" t="s">
        <v>883</v>
      </c>
      <c r="D35" s="229" t="s">
        <v>61</v>
      </c>
      <c r="E35" s="229" t="s">
        <v>82</v>
      </c>
      <c r="F35" s="229" t="s">
        <v>83</v>
      </c>
      <c r="G35" s="229"/>
      <c r="H35" s="229" t="s">
        <v>85</v>
      </c>
      <c r="I35" s="229"/>
      <c r="J35" s="229" t="s">
        <v>65</v>
      </c>
      <c r="K35" s="229" t="s">
        <v>66</v>
      </c>
      <c r="L35" s="229" t="s">
        <v>246</v>
      </c>
      <c r="M35" s="229" t="s">
        <v>78</v>
      </c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34" t="s">
        <v>73</v>
      </c>
      <c r="AA35" s="236" t="s">
        <v>884</v>
      </c>
    </row>
    <row r="36" spans="1:27">
      <c r="A36" s="233">
        <v>34</v>
      </c>
      <c r="B36" s="229" t="s">
        <v>885</v>
      </c>
      <c r="C36" s="498" t="s">
        <v>886</v>
      </c>
      <c r="D36" s="229" t="s">
        <v>81</v>
      </c>
      <c r="E36" s="229" t="s">
        <v>82</v>
      </c>
      <c r="F36" s="229" t="s">
        <v>83</v>
      </c>
      <c r="G36" s="229" t="s">
        <v>99</v>
      </c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34" t="s">
        <v>110</v>
      </c>
      <c r="AA36" s="236"/>
    </row>
    <row r="37" spans="1:27">
      <c r="A37" s="233">
        <v>35</v>
      </c>
      <c r="B37" s="229" t="s">
        <v>887</v>
      </c>
      <c r="C37" s="435" t="s">
        <v>888</v>
      </c>
      <c r="D37" s="229" t="s">
        <v>92</v>
      </c>
      <c r="E37" s="229" t="s">
        <v>62</v>
      </c>
      <c r="F37" s="229" t="s">
        <v>57</v>
      </c>
      <c r="G37" s="229" t="s">
        <v>85</v>
      </c>
      <c r="H37" s="229" t="s">
        <v>85</v>
      </c>
      <c r="I37" s="229" t="s">
        <v>85</v>
      </c>
      <c r="J37" s="229" t="s">
        <v>65</v>
      </c>
      <c r="K37" s="229" t="s">
        <v>66</v>
      </c>
      <c r="L37" s="229" t="s">
        <v>246</v>
      </c>
      <c r="M37" s="229" t="s">
        <v>78</v>
      </c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34" t="s">
        <v>73</v>
      </c>
      <c r="AA37" s="236" t="s">
        <v>160</v>
      </c>
    </row>
    <row r="38" spans="1:27" s="248" customFormat="1">
      <c r="A38" s="233">
        <v>36</v>
      </c>
      <c r="B38" s="229" t="s">
        <v>889</v>
      </c>
      <c r="C38" s="435" t="s">
        <v>890</v>
      </c>
      <c r="D38" s="229" t="s">
        <v>155</v>
      </c>
      <c r="E38" s="229" t="s">
        <v>62</v>
      </c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34" t="s">
        <v>110</v>
      </c>
      <c r="AA38" s="236"/>
    </row>
    <row r="39" spans="1:27">
      <c r="A39" s="233">
        <v>37</v>
      </c>
      <c r="B39" s="229" t="s">
        <v>891</v>
      </c>
      <c r="C39" s="435" t="s">
        <v>892</v>
      </c>
      <c r="D39" s="229" t="s">
        <v>92</v>
      </c>
      <c r="E39" s="229" t="s">
        <v>62</v>
      </c>
      <c r="F39" s="229" t="s">
        <v>138</v>
      </c>
      <c r="G39" s="229"/>
      <c r="H39" s="229"/>
      <c r="I39" s="229"/>
      <c r="J39" s="229" t="s">
        <v>65</v>
      </c>
      <c r="K39" s="229" t="s">
        <v>66</v>
      </c>
      <c r="L39" s="229" t="s">
        <v>246</v>
      </c>
      <c r="M39" s="229" t="s">
        <v>78</v>
      </c>
      <c r="N39" s="229" t="s">
        <v>69</v>
      </c>
      <c r="O39" s="229" t="s">
        <v>69</v>
      </c>
      <c r="P39" s="229" t="s">
        <v>69</v>
      </c>
      <c r="Q39" s="229" t="s">
        <v>69</v>
      </c>
      <c r="R39" s="229" t="s">
        <v>69</v>
      </c>
      <c r="S39" s="229" t="s">
        <v>69</v>
      </c>
      <c r="T39" s="229" t="s">
        <v>69</v>
      </c>
      <c r="U39" s="229" t="s">
        <v>69</v>
      </c>
      <c r="V39" s="229" t="s">
        <v>69</v>
      </c>
      <c r="W39" s="229" t="s">
        <v>69</v>
      </c>
      <c r="X39" s="229" t="s">
        <v>69</v>
      </c>
      <c r="Y39" s="229" t="s">
        <v>69</v>
      </c>
      <c r="Z39" s="234" t="s">
        <v>73</v>
      </c>
      <c r="AA39" s="236"/>
    </row>
    <row r="40" spans="1:27" s="248" customFormat="1">
      <c r="A40" s="233">
        <v>38</v>
      </c>
      <c r="B40" s="229" t="s">
        <v>893</v>
      </c>
      <c r="C40" s="435" t="s">
        <v>894</v>
      </c>
      <c r="D40" s="229" t="s">
        <v>92</v>
      </c>
      <c r="E40" s="229" t="s">
        <v>62</v>
      </c>
      <c r="F40" s="229" t="s">
        <v>138</v>
      </c>
      <c r="G40" s="229" t="s">
        <v>864</v>
      </c>
      <c r="H40" s="229"/>
      <c r="I40" s="229"/>
      <c r="J40" s="229" t="s">
        <v>65</v>
      </c>
      <c r="K40" s="229" t="s">
        <v>66</v>
      </c>
      <c r="L40" s="229" t="s">
        <v>246</v>
      </c>
      <c r="M40" s="229" t="s">
        <v>68</v>
      </c>
      <c r="N40" s="229" t="s">
        <v>69</v>
      </c>
      <c r="O40" s="229" t="s">
        <v>90</v>
      </c>
      <c r="P40" s="229" t="s">
        <v>90</v>
      </c>
      <c r="Q40" s="229" t="s">
        <v>195</v>
      </c>
      <c r="R40" s="229" t="s">
        <v>69</v>
      </c>
      <c r="S40" s="229" t="s">
        <v>69</v>
      </c>
      <c r="T40" s="229" t="s">
        <v>69</v>
      </c>
      <c r="U40" s="229" t="s">
        <v>69</v>
      </c>
      <c r="V40" s="229" t="s">
        <v>195</v>
      </c>
      <c r="W40" s="229" t="s">
        <v>69</v>
      </c>
      <c r="X40" s="229" t="s">
        <v>69</v>
      </c>
      <c r="Y40" s="229" t="s">
        <v>195</v>
      </c>
      <c r="Z40" s="234" t="s">
        <v>73</v>
      </c>
      <c r="AA40" s="236"/>
    </row>
    <row r="41" spans="1:27" s="248" customFormat="1">
      <c r="A41" s="365">
        <v>39</v>
      </c>
      <c r="B41" s="366" t="s">
        <v>27</v>
      </c>
      <c r="C41" s="498" t="s">
        <v>895</v>
      </c>
      <c r="D41" s="229" t="s">
        <v>92</v>
      </c>
      <c r="E41" s="229" t="s">
        <v>62</v>
      </c>
      <c r="F41" s="229" t="s">
        <v>138</v>
      </c>
      <c r="G41" s="366" t="s">
        <v>896</v>
      </c>
      <c r="H41" s="366"/>
      <c r="I41" s="366"/>
      <c r="J41" s="229" t="s">
        <v>65</v>
      </c>
      <c r="K41" s="229" t="s">
        <v>66</v>
      </c>
      <c r="L41" s="229" t="s">
        <v>246</v>
      </c>
      <c r="M41" s="229" t="s">
        <v>68</v>
      </c>
      <c r="N41" s="229" t="s">
        <v>69</v>
      </c>
      <c r="O41" s="229" t="s">
        <v>90</v>
      </c>
      <c r="P41" s="229" t="s">
        <v>90</v>
      </c>
      <c r="Q41" s="229" t="s">
        <v>195</v>
      </c>
      <c r="R41" s="229" t="s">
        <v>69</v>
      </c>
      <c r="S41" s="229" t="s">
        <v>69</v>
      </c>
      <c r="T41" s="229" t="s">
        <v>69</v>
      </c>
      <c r="U41" s="229" t="s">
        <v>69</v>
      </c>
      <c r="V41" s="229" t="s">
        <v>195</v>
      </c>
      <c r="W41" s="229" t="s">
        <v>69</v>
      </c>
      <c r="X41" s="229" t="s">
        <v>69</v>
      </c>
      <c r="Y41" s="229" t="s">
        <v>195</v>
      </c>
      <c r="Z41" s="234" t="s">
        <v>73</v>
      </c>
      <c r="AA41" s="232"/>
    </row>
    <row r="43" spans="1:27">
      <c r="D43" s="634" t="s">
        <v>122</v>
      </c>
      <c r="E43" s="223" t="s">
        <v>123</v>
      </c>
      <c r="F43" s="224" t="s">
        <v>124</v>
      </c>
      <c r="G43" s="225" t="s">
        <v>125</v>
      </c>
      <c r="H43" s="226" t="s">
        <v>126</v>
      </c>
      <c r="J43" s="634" t="s">
        <v>122</v>
      </c>
      <c r="K43" s="636" t="s">
        <v>127</v>
      </c>
      <c r="L43" s="636"/>
      <c r="M43" s="636" t="s">
        <v>128</v>
      </c>
      <c r="N43" s="637"/>
      <c r="O43" s="637"/>
      <c r="P43" s="637"/>
      <c r="Q43" s="637"/>
      <c r="R43" s="637"/>
      <c r="S43" s="637"/>
      <c r="T43" s="637"/>
      <c r="U43" s="637"/>
      <c r="V43" s="637"/>
      <c r="W43" s="637"/>
      <c r="X43" s="637"/>
      <c r="Y43" s="637"/>
      <c r="Z43" s="638"/>
    </row>
    <row r="44" spans="1:27">
      <c r="D44" s="635"/>
      <c r="E44" s="227">
        <f>COUNTIF($Z$3:$Z$41,DATOS!O2)</f>
        <v>21</v>
      </c>
      <c r="F44" s="227">
        <f>COUNTIF($Z$3:$Z$41,DATOS!O3)</f>
        <v>18</v>
      </c>
      <c r="G44" s="227">
        <f>COUNTIF($Z$3:$Z$41,DATOS!O4)</f>
        <v>0</v>
      </c>
      <c r="H44" s="228">
        <f>SUM(E44:G44)</f>
        <v>39</v>
      </c>
      <c r="J44" s="635"/>
      <c r="K44" s="639">
        <f>COUNTIF(M3:$M$41,DATOS!Q2)</f>
        <v>13</v>
      </c>
      <c r="L44" s="639"/>
      <c r="M44" s="639">
        <f>COUNTIF($M3:$M$41,DATOS!Q3)</f>
        <v>4</v>
      </c>
      <c r="N44" s="640"/>
      <c r="O44" s="640"/>
      <c r="P44" s="640"/>
      <c r="Q44" s="640"/>
      <c r="R44" s="640"/>
      <c r="S44" s="640"/>
      <c r="T44" s="640"/>
      <c r="U44" s="640"/>
      <c r="V44" s="640"/>
      <c r="W44" s="640"/>
      <c r="X44" s="640"/>
      <c r="Y44" s="640"/>
      <c r="Z44" s="641"/>
    </row>
    <row r="46" spans="1:27" ht="27.75">
      <c r="D46" s="629" t="s">
        <v>129</v>
      </c>
      <c r="E46" s="229" t="str">
        <f>DATOS!G2</f>
        <v>INALÁMBRICO</v>
      </c>
      <c r="F46" s="229" t="str">
        <f>DATOS!G3</f>
        <v>ALÁMBRICO</v>
      </c>
      <c r="G46" s="230" t="str">
        <f>DATOS!G4</f>
        <v>ALÁMBRICO/INALÁMBRICO</v>
      </c>
      <c r="J46" s="538" t="s">
        <v>130</v>
      </c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40"/>
    </row>
    <row r="47" spans="1:27">
      <c r="D47" s="630"/>
      <c r="E47" s="231">
        <f>COUNTIF(J3:$J$41,DATOS!G2)</f>
        <v>7</v>
      </c>
      <c r="F47" s="231">
        <f>COUNTIF($J3:J$41,DATOS!G3)</f>
        <v>2</v>
      </c>
      <c r="G47" s="232">
        <f>COUNTIF($J3:$J$41,DATOS!G4)</f>
        <v>0</v>
      </c>
    </row>
    <row r="91" ht="35.25" customHeight="1"/>
  </sheetData>
  <autoFilter ref="A2:AA41" xr:uid="{EC6DB0B4-E532-41AF-A88F-52E695797CA3}"/>
  <mergeCells count="9">
    <mergeCell ref="D46:D47"/>
    <mergeCell ref="J46:Z46"/>
    <mergeCell ref="A1:AA1"/>
    <mergeCell ref="D43:D44"/>
    <mergeCell ref="J43:J44"/>
    <mergeCell ref="K43:L43"/>
    <mergeCell ref="M43:Z43"/>
    <mergeCell ref="K44:L44"/>
    <mergeCell ref="M44:Z44"/>
  </mergeCells>
  <dataValidations count="1">
    <dataValidation allowBlank="1" showInputMessage="1" showErrorMessage="1" sqref="V28:V41 Y28:Y41 Q6:Q13 Y3:Y4 Y6:Y13 V3:V4 V6:V13 Q3:Q4 Y15:Y26 V15:V26 Q15:Q26 Q28:Q41" xr:uid="{24AE5713-529D-413C-80A6-E41D1A3CC16D}"/>
  </dataValidations>
  <hyperlinks>
    <hyperlink ref="J46" location="RANGO!A1" display="REGRESAR A LA PESTALLA PRINCIPAL" xr:uid="{772FB3C1-6684-45A1-9503-5F832E6A30A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C907B4-D9C2-47A4-905F-153B25B720A2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41C03924-D5B2-41A5-ABE8-E76AABC5360C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B0069D80-7815-4C18-B960-8978DDF0996C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40CF4D9-5849-4662-80D2-A483AAD2E04D}">
          <x14:formula1>
            <xm:f>DATOS!$O$2:$O$4</xm:f>
          </x14:formula1>
          <xm:sqref>Z3:Z41</xm:sqref>
        </x14:dataValidation>
        <x14:dataValidation type="list" allowBlank="1" showInputMessage="1" showErrorMessage="1" xr:uid="{D59DC1CA-63E4-4F16-8646-3E4B0064DCC9}">
          <x14:formula1>
            <xm:f>DATOS!$M$2:$M$3</xm:f>
          </x14:formula1>
          <xm:sqref>E3:E4 E6:E13 E15:E26 E29:E41</xm:sqref>
        </x14:dataValidation>
        <x14:dataValidation type="list" allowBlank="1" showInputMessage="1" showErrorMessage="1" xr:uid="{1E7D607F-8B9A-440A-BD66-BF3E888D8791}">
          <x14:formula1>
            <xm:f>DATOS!$K$2:$K$13</xm:f>
          </x14:formula1>
          <xm:sqref>F3:F4 F6:F13 F15:F26 F29:F41</xm:sqref>
        </x14:dataValidation>
        <x14:dataValidation type="list" allowBlank="1" showInputMessage="1" showErrorMessage="1" xr:uid="{F2A6B8CB-E7A6-43D3-827F-EE0B712817D6}">
          <x14:formula1>
            <xm:f>DATOS!$G$2:$G$4</xm:f>
          </x14:formula1>
          <xm:sqref>J3:J4 J6:J13 J15:J26 J28:J41</xm:sqref>
        </x14:dataValidation>
        <x14:dataValidation type="list" allowBlank="1" showInputMessage="1" showErrorMessage="1" xr:uid="{EA51DA96-BFA0-4C95-96E3-E837A0A94DA4}">
          <x14:formula1>
            <xm:f>DATOS!$I$2:$I$3</xm:f>
          </x14:formula1>
          <xm:sqref>K3:K4 K6:K13 K15:K26 K28:K41</xm:sqref>
        </x14:dataValidation>
        <x14:dataValidation type="list" allowBlank="1" showInputMessage="1" showErrorMessage="1" xr:uid="{9B898E79-C367-45D0-A527-43CBD2E6A3E3}">
          <x14:formula1>
            <xm:f>DATOS!$C$2:$C$13</xm:f>
          </x14:formula1>
          <xm:sqref>L3:L4 L6:L13 L15:L26 L28:L41</xm:sqref>
        </x14:dataValidation>
        <x14:dataValidation type="list" allowBlank="1" showInputMessage="1" showErrorMessage="1" xr:uid="{BE7086E9-8D65-469B-AA41-DF8BF4A9A545}">
          <x14:formula1>
            <xm:f>DATOS!$E$2:$E$7</xm:f>
          </x14:formula1>
          <xm:sqref>D3:D4 D6:D13 D15:D26 D29:D41</xm:sqref>
        </x14:dataValidation>
        <x14:dataValidation type="list" allowBlank="1" showInputMessage="1" showErrorMessage="1" xr:uid="{DA77187B-A9E3-4812-BBDE-65664BDAF733}">
          <x14:formula1>
            <xm:f>DATOS!$Q$2:$Q$3</xm:f>
          </x14:formula1>
          <xm:sqref>M3:M4 M6:M13 M15:M26 M28:M41</xm:sqref>
        </x14:dataValidation>
        <x14:dataValidation type="list" allowBlank="1" showInputMessage="1" showErrorMessage="1" xr:uid="{6BC55134-3AD5-47EC-A04E-E58B514F41C1}">
          <x14:formula1>
            <xm:f>DATOS!$R$2:$R$3</xm:f>
          </x14:formula1>
          <xm:sqref>R28:U41 W28:X41 N6:P13 W3:X4 W6:X13 R3:U4 R6:U13 N3:P4 W15:X26 R15:U26 O39:Y39 N15:P26 N28:P41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8876-4B2D-4CE9-8830-61069376ACF8}">
  <sheetPr>
    <tabColor theme="9"/>
  </sheetPr>
  <dimension ref="A1:AA91"/>
  <sheetViews>
    <sheetView workbookViewId="0">
      <pane ySplit="2" topLeftCell="A8" activePane="bottomLeft" state="frozen"/>
      <selection pane="bottomLeft" activeCell="C27" sqref="C27"/>
      <selection activeCell="F1" sqref="F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7.710937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42578125" style="1" bestFit="1" customWidth="1"/>
    <col min="11" max="11" width="16.42578125" style="1" customWidth="1"/>
    <col min="12" max="12" width="5.42578125" style="1" bestFit="1" customWidth="1"/>
    <col min="13" max="22" width="14.140625" style="1" customWidth="1"/>
    <col min="23" max="23" width="24.140625" style="1" customWidth="1"/>
    <col min="24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644" t="str">
        <f>RANGO!E13</f>
        <v>TITULAR DE AUDITORIA INTERNA Y QUEJAS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  <c r="W1" s="645"/>
      <c r="X1" s="645"/>
      <c r="Y1" s="645"/>
      <c r="Z1" s="645"/>
      <c r="AA1" s="646"/>
    </row>
    <row r="2" spans="1:27" ht="27.75">
      <c r="A2" s="191" t="s">
        <v>33</v>
      </c>
      <c r="B2" s="192" t="s">
        <v>34</v>
      </c>
      <c r="C2" s="193" t="s">
        <v>35</v>
      </c>
      <c r="D2" s="193" t="s">
        <v>36</v>
      </c>
      <c r="E2" s="193" t="s">
        <v>37</v>
      </c>
      <c r="F2" s="192" t="s">
        <v>38</v>
      </c>
      <c r="G2" s="192" t="s">
        <v>39</v>
      </c>
      <c r="H2" s="193" t="s">
        <v>40</v>
      </c>
      <c r="I2" s="193" t="s">
        <v>41</v>
      </c>
      <c r="J2" s="193" t="s">
        <v>42</v>
      </c>
      <c r="K2" s="193" t="s">
        <v>43</v>
      </c>
      <c r="L2" s="193" t="s">
        <v>44</v>
      </c>
      <c r="M2" s="193" t="s">
        <v>45</v>
      </c>
      <c r="N2" s="193" t="s">
        <v>46</v>
      </c>
      <c r="O2" s="193" t="s">
        <v>47</v>
      </c>
      <c r="P2" s="193" t="s">
        <v>48</v>
      </c>
      <c r="Q2" s="193" t="s">
        <v>49</v>
      </c>
      <c r="R2" s="193" t="s">
        <v>50</v>
      </c>
      <c r="S2" s="193" t="s">
        <v>51</v>
      </c>
      <c r="T2" s="193" t="s">
        <v>52</v>
      </c>
      <c r="U2" s="193" t="s">
        <v>53</v>
      </c>
      <c r="V2" s="193" t="s">
        <v>54</v>
      </c>
      <c r="W2" s="193" t="s">
        <v>55</v>
      </c>
      <c r="X2" s="193" t="s">
        <v>56</v>
      </c>
      <c r="Y2" s="193" t="s">
        <v>57</v>
      </c>
      <c r="Z2" s="192" t="s">
        <v>58</v>
      </c>
      <c r="AA2" s="194" t="s">
        <v>59</v>
      </c>
    </row>
    <row r="3" spans="1:27">
      <c r="A3" s="178">
        <v>1</v>
      </c>
      <c r="B3" s="179" t="s">
        <v>28</v>
      </c>
      <c r="C3" s="1" t="s">
        <v>897</v>
      </c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180" t="s">
        <v>110</v>
      </c>
      <c r="AA3" s="181"/>
    </row>
    <row r="4" spans="1:27">
      <c r="A4" s="178">
        <v>2</v>
      </c>
      <c r="B4" s="179" t="s">
        <v>898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80" t="s">
        <v>110</v>
      </c>
      <c r="AA4" s="181"/>
    </row>
    <row r="5" spans="1:27">
      <c r="A5" s="178">
        <v>3</v>
      </c>
      <c r="B5" s="179" t="s">
        <v>899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80" t="s">
        <v>110</v>
      </c>
      <c r="AA5" s="181"/>
    </row>
    <row r="6" spans="1:27">
      <c r="A6" s="178">
        <v>4</v>
      </c>
      <c r="B6" s="179" t="s">
        <v>900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80" t="s">
        <v>110</v>
      </c>
      <c r="AA6" s="181"/>
    </row>
    <row r="7" spans="1:27">
      <c r="A7" s="178">
        <v>5</v>
      </c>
      <c r="B7" s="179" t="s">
        <v>901</v>
      </c>
      <c r="C7" s="449" t="s">
        <v>902</v>
      </c>
      <c r="D7" s="179" t="s">
        <v>81</v>
      </c>
      <c r="E7" s="179" t="s">
        <v>82</v>
      </c>
      <c r="F7" s="179" t="s">
        <v>83</v>
      </c>
      <c r="G7" s="179" t="s">
        <v>84</v>
      </c>
      <c r="H7" s="179" t="s">
        <v>903</v>
      </c>
      <c r="I7" s="179" t="s">
        <v>904</v>
      </c>
      <c r="J7" s="179" t="s">
        <v>87</v>
      </c>
      <c r="K7" s="179" t="s">
        <v>66</v>
      </c>
      <c r="L7" s="179" t="s">
        <v>444</v>
      </c>
      <c r="M7" s="179" t="s">
        <v>68</v>
      </c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80" t="s">
        <v>73</v>
      </c>
      <c r="AA7" s="181"/>
    </row>
    <row r="8" spans="1:27">
      <c r="A8" s="178">
        <v>6</v>
      </c>
      <c r="B8" s="179" t="s">
        <v>905</v>
      </c>
      <c r="C8" s="449" t="s">
        <v>906</v>
      </c>
      <c r="D8" s="179" t="s">
        <v>81</v>
      </c>
      <c r="E8" s="179" t="s">
        <v>82</v>
      </c>
      <c r="F8" s="179" t="s">
        <v>83</v>
      </c>
      <c r="G8" s="179" t="s">
        <v>84</v>
      </c>
      <c r="H8" s="179" t="s">
        <v>907</v>
      </c>
      <c r="I8" s="179" t="s">
        <v>908</v>
      </c>
      <c r="J8" s="179" t="s">
        <v>87</v>
      </c>
      <c r="K8" s="179" t="s">
        <v>66</v>
      </c>
      <c r="L8" s="179" t="s">
        <v>444</v>
      </c>
      <c r="M8" s="179" t="s">
        <v>68</v>
      </c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80" t="s">
        <v>73</v>
      </c>
      <c r="AA8" s="181"/>
    </row>
    <row r="9" spans="1:27">
      <c r="A9" s="178">
        <v>7</v>
      </c>
      <c r="B9" s="179" t="s">
        <v>909</v>
      </c>
      <c r="C9" s="448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80" t="s">
        <v>110</v>
      </c>
      <c r="AA9" s="181"/>
    </row>
    <row r="10" spans="1:27">
      <c r="A10" s="178">
        <v>8</v>
      </c>
      <c r="B10" s="179" t="s">
        <v>910</v>
      </c>
      <c r="C10" s="448" t="s">
        <v>911</v>
      </c>
      <c r="D10" s="179" t="s">
        <v>81</v>
      </c>
      <c r="E10" s="179" t="s">
        <v>82</v>
      </c>
      <c r="F10" s="179" t="s">
        <v>83</v>
      </c>
      <c r="G10" s="179" t="s">
        <v>84</v>
      </c>
      <c r="H10" s="179" t="s">
        <v>63</v>
      </c>
      <c r="I10" s="179" t="s">
        <v>912</v>
      </c>
      <c r="J10" s="179" t="s">
        <v>87</v>
      </c>
      <c r="K10" s="179" t="s">
        <v>66</v>
      </c>
      <c r="L10" s="179" t="s">
        <v>444</v>
      </c>
      <c r="M10" s="179" t="s">
        <v>68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80" t="s">
        <v>73</v>
      </c>
      <c r="AA10" s="181"/>
    </row>
    <row r="11" spans="1:27">
      <c r="A11" s="178">
        <v>9</v>
      </c>
      <c r="B11" s="179" t="s">
        <v>913</v>
      </c>
      <c r="C11" s="448" t="s">
        <v>914</v>
      </c>
      <c r="D11" s="179" t="s">
        <v>92</v>
      </c>
      <c r="E11" s="179" t="s">
        <v>62</v>
      </c>
      <c r="F11" s="179"/>
      <c r="G11" s="179"/>
      <c r="H11" s="179" t="s">
        <v>549</v>
      </c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80" t="s">
        <v>73</v>
      </c>
      <c r="AA11" s="181"/>
    </row>
    <row r="12" spans="1:27" s="248" customFormat="1">
      <c r="A12" s="178">
        <v>10</v>
      </c>
      <c r="B12" s="179" t="s">
        <v>915</v>
      </c>
      <c r="C12" s="179" t="s">
        <v>916</v>
      </c>
      <c r="D12" s="179" t="s">
        <v>61</v>
      </c>
      <c r="E12" s="179" t="s">
        <v>62</v>
      </c>
      <c r="F12" s="179" t="s">
        <v>83</v>
      </c>
      <c r="G12" s="179" t="s">
        <v>917</v>
      </c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80" t="s">
        <v>110</v>
      </c>
      <c r="AA12" s="181"/>
    </row>
    <row r="13" spans="1:27">
      <c r="A13" s="178">
        <v>11</v>
      </c>
      <c r="B13" s="179" t="s">
        <v>918</v>
      </c>
      <c r="C13" s="179" t="s">
        <v>919</v>
      </c>
      <c r="D13" s="179"/>
      <c r="E13" s="179"/>
      <c r="F13" s="179"/>
      <c r="G13" s="22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80" t="s">
        <v>110</v>
      </c>
      <c r="AA13" s="181"/>
    </row>
    <row r="14" spans="1:27" s="248" customFormat="1">
      <c r="A14" s="178">
        <v>12</v>
      </c>
      <c r="B14" s="179" t="s">
        <v>920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80" t="s">
        <v>110</v>
      </c>
      <c r="AA14" s="181"/>
    </row>
    <row r="15" spans="1:27">
      <c r="A15" s="178">
        <v>13</v>
      </c>
      <c r="B15" s="179" t="s">
        <v>921</v>
      </c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80" t="s">
        <v>110</v>
      </c>
      <c r="AA15" s="181"/>
    </row>
    <row r="16" spans="1:27" s="248" customFormat="1">
      <c r="A16" s="178">
        <v>14</v>
      </c>
      <c r="B16" s="179" t="s">
        <v>922</v>
      </c>
      <c r="C16" s="179" t="s">
        <v>923</v>
      </c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80" t="s">
        <v>110</v>
      </c>
      <c r="AA16" s="181"/>
    </row>
    <row r="17" spans="1:27">
      <c r="A17" s="178">
        <v>15</v>
      </c>
      <c r="B17" s="179" t="s">
        <v>924</v>
      </c>
      <c r="C17" s="1" t="s">
        <v>925</v>
      </c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80" t="s">
        <v>110</v>
      </c>
      <c r="AA17" s="367"/>
    </row>
    <row r="18" spans="1:27">
      <c r="A18" s="178">
        <v>16</v>
      </c>
      <c r="B18" s="179" t="s">
        <v>926</v>
      </c>
      <c r="C18" s="368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80" t="s">
        <v>110</v>
      </c>
      <c r="AA18" s="367"/>
    </row>
    <row r="19" spans="1:27">
      <c r="A19" s="178">
        <v>17</v>
      </c>
      <c r="B19" s="179" t="s">
        <v>927</v>
      </c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80" t="s">
        <v>110</v>
      </c>
      <c r="AA19" s="367"/>
    </row>
    <row r="20" spans="1:27" s="248" customFormat="1">
      <c r="A20" s="369">
        <v>18</v>
      </c>
      <c r="B20" s="370" t="s">
        <v>29</v>
      </c>
      <c r="C20" s="182" t="s">
        <v>928</v>
      </c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71" t="s">
        <v>110</v>
      </c>
      <c r="AA20" s="183"/>
    </row>
    <row r="22" spans="1:27">
      <c r="D22" s="647" t="s">
        <v>122</v>
      </c>
      <c r="E22" s="184" t="s">
        <v>123</v>
      </c>
      <c r="F22" s="185" t="s">
        <v>124</v>
      </c>
      <c r="G22" s="186" t="s">
        <v>125</v>
      </c>
      <c r="H22" s="187" t="s">
        <v>126</v>
      </c>
      <c r="J22" s="647" t="s">
        <v>122</v>
      </c>
      <c r="K22" s="649" t="s">
        <v>127</v>
      </c>
      <c r="L22" s="649"/>
      <c r="M22" s="649" t="s">
        <v>128</v>
      </c>
      <c r="N22" s="650"/>
      <c r="O22" s="650"/>
      <c r="P22" s="650"/>
      <c r="Q22" s="650"/>
      <c r="R22" s="650"/>
      <c r="S22" s="650"/>
      <c r="T22" s="650"/>
      <c r="U22" s="650"/>
      <c r="V22" s="650"/>
      <c r="W22" s="650"/>
      <c r="X22" s="650"/>
      <c r="Y22" s="650"/>
      <c r="Z22" s="651"/>
    </row>
    <row r="23" spans="1:27">
      <c r="D23" s="648"/>
      <c r="E23" s="182">
        <f>COUNTIF($Z$3:$Z$20,DATOS!O2)</f>
        <v>14</v>
      </c>
      <c r="F23" s="182">
        <f>COUNTIF($Z$3:$Z$20,DATOS!O3)</f>
        <v>4</v>
      </c>
      <c r="G23" s="182">
        <f>COUNTIF($Z$3:$Z$20,DATOS!O4)</f>
        <v>0</v>
      </c>
      <c r="H23" s="188">
        <f>SUM(E23:G23)</f>
        <v>18</v>
      </c>
      <c r="J23" s="648"/>
      <c r="K23" s="652">
        <f>COUNTIF(M3:$M$20,DATOS!Q2)</f>
        <v>3</v>
      </c>
      <c r="L23" s="652"/>
      <c r="M23" s="652">
        <f>COUNTIF($M3:$M$20,DATOS!Q3)</f>
        <v>0</v>
      </c>
      <c r="N23" s="653"/>
      <c r="O23" s="653"/>
      <c r="P23" s="653"/>
      <c r="Q23" s="653"/>
      <c r="R23" s="653"/>
      <c r="S23" s="653"/>
      <c r="T23" s="653"/>
      <c r="U23" s="653"/>
      <c r="V23" s="653"/>
      <c r="W23" s="653"/>
      <c r="X23" s="653"/>
      <c r="Y23" s="653"/>
      <c r="Z23" s="654"/>
    </row>
    <row r="25" spans="1:27" ht="27.75">
      <c r="D25" s="642" t="s">
        <v>129</v>
      </c>
      <c r="E25" s="179" t="str">
        <f>DATOS!G2</f>
        <v>INALÁMBRICO</v>
      </c>
      <c r="F25" s="179" t="str">
        <f>DATOS!G3</f>
        <v>ALÁMBRICO</v>
      </c>
      <c r="G25" s="189" t="str">
        <f>DATOS!G4</f>
        <v>ALÁMBRICO/INALÁMBRICO</v>
      </c>
      <c r="J25" s="538" t="s">
        <v>130</v>
      </c>
      <c r="K25" s="539"/>
      <c r="L25" s="539"/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39"/>
      <c r="X25" s="539"/>
      <c r="Y25" s="539"/>
      <c r="Z25" s="540"/>
    </row>
    <row r="26" spans="1:27">
      <c r="D26" s="643"/>
      <c r="E26" s="190">
        <f>COUNTIF(J3:$J$20,DATOS!G2)</f>
        <v>0</v>
      </c>
      <c r="F26" s="190">
        <f>COUNTIF(J3:J20,DATOS!G3)</f>
        <v>3</v>
      </c>
      <c r="G26" s="183">
        <f>COUNTIF($J3:$J$20,DATOS!G4)</f>
        <v>0</v>
      </c>
    </row>
    <row r="91" ht="35.25" customHeight="1"/>
  </sheetData>
  <mergeCells count="9">
    <mergeCell ref="D25:D26"/>
    <mergeCell ref="J25:Z25"/>
    <mergeCell ref="A1:AA1"/>
    <mergeCell ref="D22:D23"/>
    <mergeCell ref="J22:J23"/>
    <mergeCell ref="K22:L22"/>
    <mergeCell ref="M22:Z22"/>
    <mergeCell ref="K23:L23"/>
    <mergeCell ref="M23:Z23"/>
  </mergeCells>
  <dataValidations count="1">
    <dataValidation allowBlank="1" showInputMessage="1" showErrorMessage="1" sqref="Q3:Q20 V3:V20 Y3:Y20" xr:uid="{F17DD892-5B47-482B-AD98-98394230A8BD}"/>
  </dataValidations>
  <hyperlinks>
    <hyperlink ref="J25" location="RANGO!A1" display="REGRESAR A LA PESTALLA PRINCIPAL" xr:uid="{8A3E0210-F756-47F4-ABFF-31828F1F9907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8990FEE-27E0-46BA-A263-8B3A6362229E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84D81C2A-1FB1-4FB0-9388-7EAAD2C32478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7FB6A95C-B1D6-43D9-A644-63D9228D64EC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B7CE1EC1-D432-4274-BBF2-7128E5C7D5B0}">
          <x14:formula1>
            <xm:f>DATOS!$O$2:$O$4</xm:f>
          </x14:formula1>
          <xm:sqref>Z3:Z20</xm:sqref>
        </x14:dataValidation>
        <x14:dataValidation type="list" allowBlank="1" showInputMessage="1" showErrorMessage="1" xr:uid="{EA8ED0EB-3097-469E-BC67-AD0CB76F32DA}">
          <x14:formula1>
            <xm:f>DATOS!$R$2:$R$3</xm:f>
          </x14:formula1>
          <xm:sqref>N3:P20 R3:U20 W3:X20</xm:sqref>
        </x14:dataValidation>
        <x14:dataValidation type="list" allowBlank="1" showInputMessage="1" showErrorMessage="1" xr:uid="{0598E741-5578-45BC-BD2E-A613E6D7AB5A}">
          <x14:formula1>
            <xm:f>DATOS!$Q$2:$Q$3</xm:f>
          </x14:formula1>
          <xm:sqref>M3:M18 M20</xm:sqref>
        </x14:dataValidation>
        <x14:dataValidation type="list" allowBlank="1" showInputMessage="1" showErrorMessage="1" xr:uid="{1380DCC6-BA99-463C-8426-22E07BDDCAFB}">
          <x14:formula1>
            <xm:f>DATOS!$E$2:$E$7</xm:f>
          </x14:formula1>
          <xm:sqref>D3:D18 D20</xm:sqref>
        </x14:dataValidation>
        <x14:dataValidation type="list" allowBlank="1" showInputMessage="1" showErrorMessage="1" xr:uid="{7879A575-E8DC-4937-9852-CB026E33FEC3}">
          <x14:formula1>
            <xm:f>DATOS!$I$2:$I$3</xm:f>
          </x14:formula1>
          <xm:sqref>K3:K18 K20</xm:sqref>
        </x14:dataValidation>
        <x14:dataValidation type="list" allowBlank="1" showInputMessage="1" showErrorMessage="1" xr:uid="{E2261EF9-7D4B-4E8D-B341-D75CC5FF9190}">
          <x14:formula1>
            <xm:f>DATOS!$G$2:$G$4</xm:f>
          </x14:formula1>
          <xm:sqref>J3:J18 J20</xm:sqref>
        </x14:dataValidation>
        <x14:dataValidation type="list" allowBlank="1" showInputMessage="1" showErrorMessage="1" xr:uid="{6A9C7771-2119-4D50-A704-FB7ECA085943}">
          <x14:formula1>
            <xm:f>DATOS!$K$2:$K$13</xm:f>
          </x14:formula1>
          <xm:sqref>F3:F18 F20</xm:sqref>
        </x14:dataValidation>
        <x14:dataValidation type="list" allowBlank="1" showInputMessage="1" showErrorMessage="1" xr:uid="{47882316-2995-4866-A676-8096902661B8}">
          <x14:formula1>
            <xm:f>DATOS!$M$2:$M$3</xm:f>
          </x14:formula1>
          <xm:sqref>E3:E18 E20</xm:sqref>
        </x14:dataValidation>
        <x14:dataValidation type="list" allowBlank="1" showInputMessage="1" showErrorMessage="1" xr:uid="{B9C922B6-5562-447E-9662-C859EA9833B9}">
          <x14:formula1>
            <xm:f>DATOS!$C$2:$C$14</xm:f>
          </x14:formula1>
          <xm:sqref>L3:L18 L20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C189-BCB4-49F2-8037-C0DAF54FFC49}">
  <sheetPr>
    <tabColor rgb="FF0070C0"/>
  </sheetPr>
  <dimension ref="A1:XFB98"/>
  <sheetViews>
    <sheetView workbookViewId="0">
      <pane ySplit="2" topLeftCell="A61" activePane="bottomLeft" state="frozen"/>
      <selection pane="bottomLeft" activeCell="F66" sqref="F66"/>
      <selection activeCell="C1" sqref="C1"/>
    </sheetView>
  </sheetViews>
  <sheetFormatPr defaultColWidth="11.42578125" defaultRowHeight="16.5"/>
  <cols>
    <col min="1" max="1" width="4.85546875" style="1" bestFit="1" customWidth="1"/>
    <col min="2" max="2" width="13.28515625" style="1" bestFit="1" customWidth="1"/>
    <col min="3" max="3" width="35.42578125" style="1" customWidth="1"/>
    <col min="4" max="4" width="11.5703125" style="1" bestFit="1" customWidth="1"/>
    <col min="5" max="5" width="14.7109375" style="1" bestFit="1" customWidth="1"/>
    <col min="6" max="6" width="11.28515625" style="1" bestFit="1" customWidth="1"/>
    <col min="7" max="7" width="17.7109375" style="1" customWidth="1"/>
    <col min="8" max="8" width="18.85546875" style="1" bestFit="1" customWidth="1"/>
    <col min="9" max="9" width="22.85546875" style="1" customWidth="1"/>
    <col min="10" max="10" width="13.5703125" style="1" bestFit="1" customWidth="1"/>
    <col min="11" max="11" width="16.42578125" style="1" customWidth="1"/>
    <col min="12" max="12" width="5.42578125" style="1" bestFit="1" customWidth="1"/>
    <col min="13" max="25" width="14.140625" style="1" customWidth="1"/>
    <col min="26" max="26" width="11.42578125" style="1"/>
    <col min="27" max="27" width="53.42578125" style="1" customWidth="1"/>
    <col min="28" max="16384" width="11.42578125" style="1"/>
  </cols>
  <sheetData>
    <row r="1" spans="1:27" ht="21">
      <c r="A1" s="657" t="str">
        <f>RANGO!E14</f>
        <v>SUBDIRECCIÓN DE SISTEMAS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8"/>
      <c r="AA1" s="659"/>
    </row>
    <row r="2" spans="1:27" ht="41.25">
      <c r="A2" s="200" t="s">
        <v>33</v>
      </c>
      <c r="B2" s="201" t="s">
        <v>34</v>
      </c>
      <c r="C2" s="202" t="s">
        <v>35</v>
      </c>
      <c r="D2" s="202" t="s">
        <v>36</v>
      </c>
      <c r="E2" s="202" t="s">
        <v>37</v>
      </c>
      <c r="F2" s="201" t="s">
        <v>38</v>
      </c>
      <c r="G2" s="201" t="s">
        <v>39</v>
      </c>
      <c r="H2" s="202" t="s">
        <v>40</v>
      </c>
      <c r="I2" s="202" t="s">
        <v>41</v>
      </c>
      <c r="J2" s="202" t="s">
        <v>42</v>
      </c>
      <c r="K2" s="202" t="s">
        <v>43</v>
      </c>
      <c r="L2" s="202" t="s">
        <v>44</v>
      </c>
      <c r="M2" s="202" t="s">
        <v>45</v>
      </c>
      <c r="N2" s="202" t="s">
        <v>46</v>
      </c>
      <c r="O2" s="202" t="s">
        <v>47</v>
      </c>
      <c r="P2" s="202" t="s">
        <v>48</v>
      </c>
      <c r="Q2" s="202" t="s">
        <v>49</v>
      </c>
      <c r="R2" s="202" t="s">
        <v>50</v>
      </c>
      <c r="S2" s="202" t="s">
        <v>51</v>
      </c>
      <c r="T2" s="202" t="s">
        <v>52</v>
      </c>
      <c r="U2" s="202" t="s">
        <v>53</v>
      </c>
      <c r="V2" s="202" t="s">
        <v>54</v>
      </c>
      <c r="W2" s="202" t="s">
        <v>55</v>
      </c>
      <c r="X2" s="202" t="s">
        <v>56</v>
      </c>
      <c r="Y2" s="202" t="s">
        <v>57</v>
      </c>
      <c r="Z2" s="201" t="s">
        <v>58</v>
      </c>
      <c r="AA2" s="203" t="s">
        <v>59</v>
      </c>
    </row>
    <row r="3" spans="1:27">
      <c r="A3" s="195">
        <v>1</v>
      </c>
      <c r="B3" s="196" t="s">
        <v>30</v>
      </c>
      <c r="C3" s="519" t="s">
        <v>929</v>
      </c>
      <c r="D3" s="518" t="s">
        <v>61</v>
      </c>
      <c r="E3" s="196" t="s">
        <v>62</v>
      </c>
      <c r="F3" s="196" t="s">
        <v>83</v>
      </c>
      <c r="G3" s="374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7" t="s">
        <v>73</v>
      </c>
      <c r="AA3" s="375"/>
    </row>
    <row r="4" spans="1:27" ht="27.75">
      <c r="A4" s="388">
        <v>2</v>
      </c>
      <c r="B4" s="389" t="s">
        <v>930</v>
      </c>
      <c r="C4" s="389" t="s">
        <v>931</v>
      </c>
      <c r="D4" s="389" t="s">
        <v>81</v>
      </c>
      <c r="E4" s="389" t="s">
        <v>82</v>
      </c>
      <c r="F4" s="389" t="s">
        <v>151</v>
      </c>
      <c r="G4" s="405" t="s">
        <v>932</v>
      </c>
      <c r="H4" s="389"/>
      <c r="I4" s="389"/>
      <c r="J4" s="389"/>
      <c r="K4" s="389"/>
      <c r="L4" s="389"/>
      <c r="M4" s="389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7" t="s">
        <v>73</v>
      </c>
      <c r="AA4" s="375"/>
    </row>
    <row r="5" spans="1:27">
      <c r="A5" s="195">
        <v>3</v>
      </c>
      <c r="B5" s="196" t="s">
        <v>933</v>
      </c>
      <c r="C5" s="253" t="s">
        <v>934</v>
      </c>
      <c r="D5" s="196" t="s">
        <v>92</v>
      </c>
      <c r="E5" s="196" t="s">
        <v>62</v>
      </c>
      <c r="F5" s="196" t="s">
        <v>57</v>
      </c>
      <c r="G5" s="196" t="s">
        <v>85</v>
      </c>
      <c r="H5" s="196" t="s">
        <v>85</v>
      </c>
      <c r="I5" s="196" t="s">
        <v>85</v>
      </c>
      <c r="J5" s="196" t="s">
        <v>65</v>
      </c>
      <c r="K5" s="196" t="s">
        <v>66</v>
      </c>
      <c r="L5" s="196" t="s">
        <v>866</v>
      </c>
      <c r="M5" s="196" t="s">
        <v>68</v>
      </c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7" t="s">
        <v>73</v>
      </c>
      <c r="AA5" s="375"/>
    </row>
    <row r="6" spans="1:27">
      <c r="A6" s="195">
        <v>4</v>
      </c>
      <c r="B6" s="196" t="s">
        <v>935</v>
      </c>
      <c r="C6" s="256" t="s">
        <v>936</v>
      </c>
      <c r="D6" s="196"/>
      <c r="E6" s="196"/>
      <c r="F6" s="196"/>
      <c r="G6" s="374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7" t="s">
        <v>73</v>
      </c>
      <c r="AA6" s="375"/>
    </row>
    <row r="7" spans="1:27">
      <c r="A7" s="195">
        <v>5</v>
      </c>
      <c r="B7" s="196" t="s">
        <v>937</v>
      </c>
      <c r="C7" s="253" t="s">
        <v>938</v>
      </c>
      <c r="D7" s="196" t="s">
        <v>81</v>
      </c>
      <c r="E7" s="196" t="s">
        <v>82</v>
      </c>
      <c r="F7" s="196" t="s">
        <v>151</v>
      </c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7" t="s">
        <v>73</v>
      </c>
      <c r="AA7" s="375"/>
    </row>
    <row r="8" spans="1:27">
      <c r="A8" s="195">
        <v>6</v>
      </c>
      <c r="B8" s="196" t="s">
        <v>939</v>
      </c>
      <c r="C8" s="253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7" t="s">
        <v>110</v>
      </c>
      <c r="AA8" s="375"/>
    </row>
    <row r="9" spans="1:27" s="248" customFormat="1">
      <c r="A9" s="195">
        <v>7</v>
      </c>
      <c r="B9" s="196" t="s">
        <v>940</v>
      </c>
      <c r="C9" s="253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7" t="s">
        <v>73</v>
      </c>
      <c r="AA9" s="375"/>
    </row>
    <row r="10" spans="1:27">
      <c r="A10" s="195">
        <v>8</v>
      </c>
      <c r="B10" s="196" t="s">
        <v>941</v>
      </c>
      <c r="C10" s="253" t="s">
        <v>942</v>
      </c>
      <c r="D10" s="196" t="s">
        <v>943</v>
      </c>
      <c r="E10" s="196" t="s">
        <v>82</v>
      </c>
      <c r="F10" s="196" t="s">
        <v>83</v>
      </c>
      <c r="G10" s="196" t="s">
        <v>84</v>
      </c>
      <c r="H10" s="196" t="s">
        <v>85</v>
      </c>
      <c r="I10" s="196" t="s">
        <v>944</v>
      </c>
      <c r="J10" s="196" t="s">
        <v>87</v>
      </c>
      <c r="K10" s="196" t="s">
        <v>66</v>
      </c>
      <c r="L10" s="196" t="s">
        <v>866</v>
      </c>
      <c r="M10" s="196" t="s">
        <v>68</v>
      </c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7" t="s">
        <v>73</v>
      </c>
      <c r="AA10" s="375"/>
    </row>
    <row r="11" spans="1:27" s="248" customFormat="1">
      <c r="A11" s="249">
        <v>9</v>
      </c>
      <c r="B11" s="250" t="s">
        <v>945</v>
      </c>
      <c r="C11" s="253" t="s">
        <v>946</v>
      </c>
      <c r="D11" s="250" t="s">
        <v>92</v>
      </c>
      <c r="E11" s="250" t="s">
        <v>62</v>
      </c>
      <c r="F11" s="381" t="s">
        <v>429</v>
      </c>
      <c r="G11" s="250" t="s">
        <v>947</v>
      </c>
      <c r="H11" s="382" t="s">
        <v>948</v>
      </c>
      <c r="I11" s="250" t="s">
        <v>949</v>
      </c>
      <c r="J11" s="250" t="s">
        <v>65</v>
      </c>
      <c r="K11" s="250" t="s">
        <v>66</v>
      </c>
      <c r="L11" s="250" t="s">
        <v>866</v>
      </c>
      <c r="M11" s="250" t="s">
        <v>68</v>
      </c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251" t="s">
        <v>73</v>
      </c>
      <c r="AA11" s="383"/>
    </row>
    <row r="12" spans="1:27">
      <c r="A12" s="195">
        <v>10</v>
      </c>
      <c r="B12" s="196" t="s">
        <v>950</v>
      </c>
      <c r="C12" s="253" t="s">
        <v>951</v>
      </c>
      <c r="D12" s="196" t="s">
        <v>92</v>
      </c>
      <c r="E12" s="196" t="s">
        <v>62</v>
      </c>
      <c r="F12" s="196" t="s">
        <v>138</v>
      </c>
      <c r="G12" s="196"/>
      <c r="H12" s="196"/>
      <c r="I12" s="196"/>
      <c r="J12" s="196" t="s">
        <v>65</v>
      </c>
      <c r="K12" s="196" t="s">
        <v>66</v>
      </c>
      <c r="L12" s="196" t="s">
        <v>866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7" t="s">
        <v>73</v>
      </c>
      <c r="AA12" s="375"/>
    </row>
    <row r="13" spans="1:27">
      <c r="A13" s="195">
        <v>11</v>
      </c>
      <c r="B13" s="196" t="s">
        <v>952</v>
      </c>
      <c r="C13" s="253" t="s">
        <v>953</v>
      </c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7" t="s">
        <v>73</v>
      </c>
      <c r="AA13" s="375"/>
    </row>
    <row r="14" spans="1:27">
      <c r="A14" s="195">
        <v>12</v>
      </c>
      <c r="B14" s="196" t="s">
        <v>954</v>
      </c>
      <c r="C14" s="253" t="s">
        <v>955</v>
      </c>
      <c r="D14" s="196" t="s">
        <v>61</v>
      </c>
      <c r="E14" s="196" t="s">
        <v>82</v>
      </c>
      <c r="F14" s="196" t="s">
        <v>83</v>
      </c>
      <c r="G14" s="196" t="s">
        <v>95</v>
      </c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7" t="s">
        <v>73</v>
      </c>
      <c r="AA14" s="375"/>
    </row>
    <row r="15" spans="1:27">
      <c r="A15" s="195">
        <v>13</v>
      </c>
      <c r="B15" s="196" t="s">
        <v>956</v>
      </c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7" t="s">
        <v>73</v>
      </c>
      <c r="AA15" s="375" t="s">
        <v>411</v>
      </c>
    </row>
    <row r="16" spans="1:27" s="248" customFormat="1">
      <c r="A16" s="195">
        <v>14</v>
      </c>
      <c r="B16" s="196" t="s">
        <v>957</v>
      </c>
      <c r="C16" s="253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7" t="s">
        <v>73</v>
      </c>
      <c r="AA16" s="375"/>
    </row>
    <row r="17" spans="1:1022 1034:2046 2058:3070 3082:4094 4106:5118 5130:6142 6154:7166 7178:8190 8202:9214 9226:10238 10250:11262 11274:12286 12298:13310 13322:14334 14346:15358 15370:16382" s="256" customFormat="1">
      <c r="A17" s="252">
        <v>15</v>
      </c>
      <c r="B17" s="253" t="s">
        <v>958</v>
      </c>
      <c r="C17" s="253" t="s">
        <v>934</v>
      </c>
      <c r="D17" s="253" t="s">
        <v>81</v>
      </c>
      <c r="E17" s="253" t="s">
        <v>82</v>
      </c>
      <c r="F17" s="253" t="s">
        <v>83</v>
      </c>
      <c r="G17" s="253" t="s">
        <v>99</v>
      </c>
      <c r="H17" s="253" t="s">
        <v>85</v>
      </c>
      <c r="I17" s="253" t="s">
        <v>959</v>
      </c>
      <c r="J17" s="253" t="s">
        <v>87</v>
      </c>
      <c r="K17" s="253" t="s">
        <v>66</v>
      </c>
      <c r="L17" s="253" t="s">
        <v>866</v>
      </c>
      <c r="M17" s="253" t="s">
        <v>68</v>
      </c>
      <c r="N17" s="404"/>
      <c r="O17" s="404"/>
      <c r="P17" s="404"/>
      <c r="Q17" s="404"/>
      <c r="R17" s="404"/>
      <c r="S17" s="404"/>
      <c r="T17" s="404"/>
      <c r="U17" s="404"/>
      <c r="V17" s="404"/>
      <c r="W17" s="404"/>
      <c r="X17" s="404"/>
      <c r="Y17" s="404"/>
      <c r="Z17" s="254" t="s">
        <v>73</v>
      </c>
      <c r="AA17" s="255"/>
    </row>
    <row r="18" spans="1:1022 1034:2046 2058:3070 3082:4094 4106:5118 5130:6142 6154:7166 7178:8190 8202:9214 9226:10238 10250:11262 11274:12286 12298:13310 13322:14334 14346:15358 15370:16382" s="248" customFormat="1">
      <c r="A18" s="195">
        <v>16</v>
      </c>
      <c r="B18" s="196" t="s">
        <v>960</v>
      </c>
      <c r="C18" s="253" t="s">
        <v>961</v>
      </c>
      <c r="D18" s="196" t="s">
        <v>61</v>
      </c>
      <c r="E18" s="196" t="s">
        <v>62</v>
      </c>
      <c r="F18" s="196" t="s">
        <v>138</v>
      </c>
      <c r="G18" s="196" t="s">
        <v>962</v>
      </c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7" t="s">
        <v>73</v>
      </c>
      <c r="AA18" s="198"/>
    </row>
    <row r="19" spans="1:1022 1034:2046 2058:3070 3082:4094 4106:5118 5130:6142 6154:7166 7178:8190 8202:9214 9226:10238 10250:11262 11274:12286 12298:13310 13322:14334 14346:15358 15370:16382">
      <c r="A19" s="195">
        <v>17</v>
      </c>
      <c r="B19" s="196" t="s">
        <v>963</v>
      </c>
      <c r="C19" s="253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7" t="s">
        <v>73</v>
      </c>
      <c r="AA19" s="198"/>
    </row>
    <row r="20" spans="1:1022 1034:2046 2058:3070 3082:4094 4106:5118 5130:6142 6154:7166 7178:8190 8202:9214 9226:10238 10250:11262 11274:12286 12298:13310 13322:14334 14346:15358 15370:16382" s="248" customFormat="1">
      <c r="A20" s="249">
        <v>18</v>
      </c>
      <c r="B20" s="250" t="s">
        <v>964</v>
      </c>
      <c r="C20" s="253" t="s">
        <v>951</v>
      </c>
      <c r="D20" s="250" t="s">
        <v>61</v>
      </c>
      <c r="E20" s="250" t="s">
        <v>82</v>
      </c>
      <c r="F20" s="250" t="s">
        <v>83</v>
      </c>
      <c r="G20" s="250" t="s">
        <v>95</v>
      </c>
      <c r="H20" s="250"/>
      <c r="I20" s="250"/>
      <c r="J20" s="250" t="s">
        <v>65</v>
      </c>
      <c r="K20" s="250" t="s">
        <v>66</v>
      </c>
      <c r="L20" s="250" t="s">
        <v>866</v>
      </c>
      <c r="M20" s="250" t="s">
        <v>78</v>
      </c>
      <c r="N20" s="404"/>
      <c r="O20" s="404"/>
      <c r="P20" s="404"/>
      <c r="Q20" s="404"/>
      <c r="R20" s="404"/>
      <c r="S20" s="404"/>
      <c r="T20" s="404"/>
      <c r="U20" s="404"/>
      <c r="V20" s="404"/>
      <c r="W20" s="404"/>
      <c r="X20" s="404"/>
      <c r="Y20" s="404"/>
      <c r="Z20" s="251" t="s">
        <v>73</v>
      </c>
      <c r="AA20" s="257"/>
    </row>
    <row r="21" spans="1:1022 1034:2046 2058:3070 3082:4094 4106:5118 5130:6142 6154:7166 7178:8190 8202:9214 9226:10238 10250:11262 11274:12286 12298:13310 13322:14334 14346:15358 15370:16382">
      <c r="A21" s="195">
        <v>19</v>
      </c>
      <c r="B21" s="196" t="s">
        <v>965</v>
      </c>
      <c r="C21" s="253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7" t="s">
        <v>73</v>
      </c>
      <c r="AA21" s="198"/>
    </row>
    <row r="22" spans="1:1022 1034:2046 2058:3070 3082:4094 4106:5118 5130:6142 6154:7166 7178:8190 8202:9214 9226:10238 10250:11262 11274:12286 12298:13310 13322:14334 14346:15358 15370:16382">
      <c r="A22" s="195">
        <v>20</v>
      </c>
      <c r="B22" s="196" t="s">
        <v>966</v>
      </c>
      <c r="C22" s="253" t="s">
        <v>967</v>
      </c>
      <c r="D22" s="196" t="s">
        <v>81</v>
      </c>
      <c r="E22" s="196" t="s">
        <v>82</v>
      </c>
      <c r="F22" s="196" t="s">
        <v>83</v>
      </c>
      <c r="G22" s="196" t="s">
        <v>99</v>
      </c>
      <c r="H22" s="196" t="s">
        <v>85</v>
      </c>
      <c r="I22" s="196" t="s">
        <v>968</v>
      </c>
      <c r="J22" s="196" t="s">
        <v>87</v>
      </c>
      <c r="K22" s="196" t="s">
        <v>66</v>
      </c>
      <c r="L22" s="196" t="s">
        <v>866</v>
      </c>
      <c r="M22" s="196" t="s">
        <v>78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7" t="s">
        <v>73</v>
      </c>
      <c r="AA22" s="198"/>
    </row>
    <row r="23" spans="1:1022 1034:2046 2058:3070 3082:4094 4106:5118 5130:6142 6154:7166 7178:8190 8202:9214 9226:10238 10250:11262 11274:12286 12298:13310 13322:14334 14346:15358 15370:16382" s="272" customFormat="1">
      <c r="A23" s="388">
        <v>21</v>
      </c>
      <c r="B23" s="389" t="s">
        <v>969</v>
      </c>
      <c r="C23" s="389" t="s">
        <v>970</v>
      </c>
      <c r="D23" s="389" t="s">
        <v>971</v>
      </c>
      <c r="E23" s="389" t="s">
        <v>82</v>
      </c>
      <c r="F23" s="389" t="s">
        <v>972</v>
      </c>
      <c r="G23" s="389" t="s">
        <v>973</v>
      </c>
      <c r="H23" s="389" t="s">
        <v>974</v>
      </c>
      <c r="I23" s="389"/>
      <c r="J23" s="389" t="s">
        <v>87</v>
      </c>
      <c r="K23" s="389" t="s">
        <v>66</v>
      </c>
      <c r="L23" s="389" t="s">
        <v>67</v>
      </c>
      <c r="M23" s="389" t="s">
        <v>68</v>
      </c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/>
      <c r="Z23" s="390" t="s">
        <v>110</v>
      </c>
      <c r="AA23" s="391"/>
    </row>
    <row r="24" spans="1:1022 1034:2046 2058:3070 3082:4094 4106:5118 5130:6142 6154:7166 7178:8190 8202:9214 9226:10238 10250:11262 11274:12286 12298:13310 13322:14334 14346:15358 15370:16382">
      <c r="A24" s="195">
        <v>22</v>
      </c>
      <c r="B24" s="196" t="s">
        <v>975</v>
      </c>
      <c r="C24" s="253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7" t="s">
        <v>73</v>
      </c>
      <c r="AA24" s="198"/>
    </row>
    <row r="25" spans="1:1022 1034:2046 2058:3070 3082:4094 4106:5118 5130:6142 6154:7166 7178:8190 8202:9214 9226:10238 10250:11262 11274:12286 12298:13310 13322:14334 14346:15358 15370:16382">
      <c r="A25" s="195">
        <v>23</v>
      </c>
      <c r="B25" s="196" t="s">
        <v>976</v>
      </c>
      <c r="C25" s="253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7" t="s">
        <v>110</v>
      </c>
      <c r="AA25" s="198"/>
    </row>
    <row r="26" spans="1:1022 1034:2046 2058:3070 3082:4094 4106:5118 5130:6142 6154:7166 7178:8190 8202:9214 9226:10238 10250:11262 11274:12286 12298:13310 13322:14334 14346:15358 15370:16382">
      <c r="A26" s="195">
        <v>24</v>
      </c>
      <c r="B26" s="196" t="s">
        <v>977</v>
      </c>
      <c r="C26" s="253" t="s">
        <v>978</v>
      </c>
      <c r="D26" s="196" t="s">
        <v>61</v>
      </c>
      <c r="E26" s="196" t="s">
        <v>82</v>
      </c>
      <c r="F26" s="196"/>
      <c r="G26" s="196"/>
      <c r="H26" s="196"/>
      <c r="I26" s="196"/>
      <c r="J26" s="196"/>
      <c r="K26" s="196"/>
      <c r="L26" s="196" t="s">
        <v>67</v>
      </c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7" t="s">
        <v>73</v>
      </c>
      <c r="AA26" s="198"/>
    </row>
    <row r="27" spans="1:1022 1034:2046 2058:3070 3082:4094 4106:5118 5130:6142 6154:7166 7178:8190 8202:9214 9226:10238 10250:11262 11274:12286 12298:13310 13322:14334 14346:15358 15370:16382" s="248" customFormat="1">
      <c r="A27" s="195">
        <v>25</v>
      </c>
      <c r="B27" s="196" t="s">
        <v>979</v>
      </c>
      <c r="C27" s="253" t="s">
        <v>961</v>
      </c>
      <c r="D27" s="196" t="s">
        <v>416</v>
      </c>
      <c r="E27" s="196" t="s">
        <v>62</v>
      </c>
      <c r="F27" s="196" t="s">
        <v>138</v>
      </c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7" t="s">
        <v>73</v>
      </c>
      <c r="AA27" s="198"/>
    </row>
    <row r="28" spans="1:1022 1034:2046 2058:3070 3082:4094 4106:5118 5130:6142 6154:7166 7178:8190 8202:9214 9226:10238 10250:11262 11274:12286 12298:13310 13322:14334 14346:15358 15370:16382">
      <c r="A28" s="195">
        <v>26</v>
      </c>
      <c r="B28" s="196" t="s">
        <v>980</v>
      </c>
      <c r="C28" s="25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7" t="s">
        <v>73</v>
      </c>
      <c r="AA28" s="198"/>
    </row>
    <row r="29" spans="1:1022 1034:2046 2058:3070 3082:4094 4106:5118 5130:6142 6154:7166 7178:8190 8202:9214 9226:10238 10250:11262 11274:12286 12298:13310 13322:14334 14346:15358 15370:16382">
      <c r="A29" s="195">
        <v>27</v>
      </c>
      <c r="B29" s="196" t="s">
        <v>981</v>
      </c>
      <c r="C29" s="253" t="s">
        <v>982</v>
      </c>
      <c r="D29" s="196" t="s">
        <v>92</v>
      </c>
      <c r="E29" s="196" t="s">
        <v>62</v>
      </c>
      <c r="F29" s="196" t="s">
        <v>138</v>
      </c>
      <c r="G29" s="196" t="s">
        <v>983</v>
      </c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7" t="s">
        <v>73</v>
      </c>
      <c r="AA29" s="198"/>
    </row>
    <row r="30" spans="1:1022 1034:2046 2058:3070 3082:4094 4106:5118 5130:6142 6154:7166 7178:8190 8202:9214 9226:10238 10250:11262 11274:12286 12298:13310 13322:14334 14346:15358 15370:16382" s="196" customFormat="1">
      <c r="A30" s="195">
        <v>28</v>
      </c>
      <c r="B30" s="376" t="s">
        <v>984</v>
      </c>
      <c r="C30" s="253" t="s">
        <v>985</v>
      </c>
      <c r="D30" s="196" t="s">
        <v>92</v>
      </c>
      <c r="E30" s="196" t="s">
        <v>62</v>
      </c>
      <c r="F30" s="196" t="s">
        <v>188</v>
      </c>
      <c r="Z30" s="197" t="s">
        <v>73</v>
      </c>
      <c r="AA30" s="198"/>
      <c r="AB30" s="1"/>
      <c r="AC30" s="195">
        <v>28</v>
      </c>
      <c r="AD30" s="376" t="s">
        <v>984</v>
      </c>
      <c r="AP30" s="197" t="s">
        <v>110</v>
      </c>
      <c r="AQ30" s="198"/>
      <c r="AR30" s="1"/>
      <c r="AS30" s="195">
        <v>28</v>
      </c>
      <c r="AT30" s="376" t="s">
        <v>984</v>
      </c>
      <c r="BF30" s="197" t="s">
        <v>110</v>
      </c>
      <c r="BG30" s="198"/>
      <c r="BH30" s="1"/>
      <c r="BI30" s="195">
        <v>28</v>
      </c>
      <c r="BJ30" s="376" t="s">
        <v>984</v>
      </c>
      <c r="BV30" s="197" t="s">
        <v>110</v>
      </c>
      <c r="BW30" s="198"/>
      <c r="BX30" s="1"/>
      <c r="BY30" s="195">
        <v>28</v>
      </c>
      <c r="BZ30" s="376" t="s">
        <v>984</v>
      </c>
      <c r="CL30" s="197" t="s">
        <v>110</v>
      </c>
      <c r="CM30" s="198"/>
      <c r="CN30" s="1"/>
      <c r="CO30" s="195">
        <v>28</v>
      </c>
      <c r="CP30" s="376" t="s">
        <v>984</v>
      </c>
      <c r="DB30" s="197" t="s">
        <v>110</v>
      </c>
      <c r="DC30" s="198"/>
      <c r="DD30" s="1"/>
      <c r="DE30" s="195">
        <v>28</v>
      </c>
      <c r="DF30" s="376" t="s">
        <v>984</v>
      </c>
      <c r="DR30" s="197" t="s">
        <v>110</v>
      </c>
      <c r="DS30" s="198"/>
      <c r="DT30" s="1"/>
      <c r="DU30" s="195">
        <v>28</v>
      </c>
      <c r="DV30" s="376" t="s">
        <v>984</v>
      </c>
      <c r="EH30" s="197" t="s">
        <v>110</v>
      </c>
      <c r="EI30" s="198"/>
      <c r="EJ30" s="1"/>
      <c r="EK30" s="195">
        <v>28</v>
      </c>
      <c r="EL30" s="376" t="s">
        <v>984</v>
      </c>
      <c r="EX30" s="197" t="s">
        <v>110</v>
      </c>
      <c r="EY30" s="198"/>
      <c r="EZ30" s="1"/>
      <c r="FA30" s="195">
        <v>28</v>
      </c>
      <c r="FB30" s="376" t="s">
        <v>984</v>
      </c>
      <c r="FN30" s="197" t="s">
        <v>110</v>
      </c>
      <c r="FO30" s="198"/>
      <c r="FP30" s="1"/>
      <c r="FQ30" s="195">
        <v>28</v>
      </c>
      <c r="FR30" s="376" t="s">
        <v>984</v>
      </c>
      <c r="GD30" s="197" t="s">
        <v>110</v>
      </c>
      <c r="GE30" s="198"/>
      <c r="GF30" s="1"/>
      <c r="GG30" s="195">
        <v>28</v>
      </c>
      <c r="GH30" s="376" t="s">
        <v>984</v>
      </c>
      <c r="GT30" s="197" t="s">
        <v>110</v>
      </c>
      <c r="GU30" s="198"/>
      <c r="GV30" s="1"/>
      <c r="GW30" s="195">
        <v>28</v>
      </c>
      <c r="GX30" s="376" t="s">
        <v>984</v>
      </c>
      <c r="HJ30" s="197" t="s">
        <v>110</v>
      </c>
      <c r="HK30" s="198"/>
      <c r="HL30" s="1"/>
      <c r="HM30" s="195">
        <v>28</v>
      </c>
      <c r="HN30" s="376" t="s">
        <v>984</v>
      </c>
      <c r="HZ30" s="197" t="s">
        <v>110</v>
      </c>
      <c r="IA30" s="198"/>
      <c r="IB30" s="1"/>
      <c r="IC30" s="195">
        <v>28</v>
      </c>
      <c r="ID30" s="376" t="s">
        <v>984</v>
      </c>
      <c r="IP30" s="197" t="s">
        <v>110</v>
      </c>
      <c r="IQ30" s="198"/>
      <c r="IR30" s="1"/>
      <c r="IS30" s="195">
        <v>28</v>
      </c>
      <c r="IT30" s="376" t="s">
        <v>984</v>
      </c>
      <c r="JF30" s="197" t="s">
        <v>110</v>
      </c>
      <c r="JG30" s="198"/>
      <c r="JH30" s="1"/>
      <c r="JI30" s="195">
        <v>28</v>
      </c>
      <c r="JJ30" s="376" t="s">
        <v>984</v>
      </c>
      <c r="JV30" s="197" t="s">
        <v>110</v>
      </c>
      <c r="JW30" s="198"/>
      <c r="JX30" s="1"/>
      <c r="JY30" s="195">
        <v>28</v>
      </c>
      <c r="JZ30" s="376" t="s">
        <v>984</v>
      </c>
      <c r="KL30" s="197" t="s">
        <v>110</v>
      </c>
      <c r="KM30" s="198"/>
      <c r="KN30" s="1"/>
      <c r="KO30" s="195">
        <v>28</v>
      </c>
      <c r="KP30" s="376" t="s">
        <v>984</v>
      </c>
      <c r="LB30" s="197" t="s">
        <v>110</v>
      </c>
      <c r="LC30" s="198"/>
      <c r="LD30" s="1"/>
      <c r="LE30" s="195">
        <v>28</v>
      </c>
      <c r="LF30" s="376" t="s">
        <v>984</v>
      </c>
      <c r="LR30" s="197" t="s">
        <v>110</v>
      </c>
      <c r="LS30" s="198"/>
      <c r="LT30" s="1"/>
      <c r="LU30" s="195">
        <v>28</v>
      </c>
      <c r="LV30" s="376" t="s">
        <v>984</v>
      </c>
      <c r="MH30" s="197" t="s">
        <v>110</v>
      </c>
      <c r="MI30" s="198"/>
      <c r="MJ30" s="1"/>
      <c r="MK30" s="195">
        <v>28</v>
      </c>
      <c r="ML30" s="376" t="s">
        <v>984</v>
      </c>
      <c r="MX30" s="197" t="s">
        <v>110</v>
      </c>
      <c r="MY30" s="198"/>
      <c r="MZ30" s="1"/>
      <c r="NA30" s="195">
        <v>28</v>
      </c>
      <c r="NB30" s="376" t="s">
        <v>984</v>
      </c>
      <c r="NN30" s="197" t="s">
        <v>110</v>
      </c>
      <c r="NO30" s="198"/>
      <c r="NP30" s="1"/>
      <c r="NQ30" s="195">
        <v>28</v>
      </c>
      <c r="NR30" s="376" t="s">
        <v>984</v>
      </c>
      <c r="OD30" s="197" t="s">
        <v>110</v>
      </c>
      <c r="OE30" s="198"/>
      <c r="OF30" s="1"/>
      <c r="OG30" s="195">
        <v>28</v>
      </c>
      <c r="OH30" s="376" t="s">
        <v>984</v>
      </c>
      <c r="OT30" s="197" t="s">
        <v>110</v>
      </c>
      <c r="OU30" s="198"/>
      <c r="OV30" s="1"/>
      <c r="OW30" s="195">
        <v>28</v>
      </c>
      <c r="OX30" s="376" t="s">
        <v>984</v>
      </c>
      <c r="PJ30" s="197" t="s">
        <v>110</v>
      </c>
      <c r="PK30" s="198"/>
      <c r="PL30" s="1"/>
      <c r="PM30" s="195">
        <v>28</v>
      </c>
      <c r="PN30" s="376" t="s">
        <v>984</v>
      </c>
      <c r="PZ30" s="197" t="s">
        <v>110</v>
      </c>
      <c r="QA30" s="198"/>
      <c r="QB30" s="1"/>
      <c r="QC30" s="195">
        <v>28</v>
      </c>
      <c r="QD30" s="376" t="s">
        <v>984</v>
      </c>
      <c r="QP30" s="197" t="s">
        <v>110</v>
      </c>
      <c r="QQ30" s="198"/>
      <c r="QR30" s="1"/>
      <c r="QS30" s="195">
        <v>28</v>
      </c>
      <c r="QT30" s="376" t="s">
        <v>984</v>
      </c>
      <c r="RF30" s="197" t="s">
        <v>110</v>
      </c>
      <c r="RG30" s="198"/>
      <c r="RH30" s="1"/>
      <c r="RI30" s="195">
        <v>28</v>
      </c>
      <c r="RJ30" s="376" t="s">
        <v>984</v>
      </c>
      <c r="RV30" s="197" t="s">
        <v>110</v>
      </c>
      <c r="RW30" s="198"/>
      <c r="RX30" s="1"/>
      <c r="RY30" s="195">
        <v>28</v>
      </c>
      <c r="RZ30" s="376" t="s">
        <v>984</v>
      </c>
      <c r="SL30" s="197" t="s">
        <v>110</v>
      </c>
      <c r="SM30" s="198"/>
      <c r="SN30" s="1"/>
      <c r="SO30" s="195">
        <v>28</v>
      </c>
      <c r="SP30" s="376" t="s">
        <v>984</v>
      </c>
      <c r="TB30" s="197" t="s">
        <v>110</v>
      </c>
      <c r="TC30" s="198"/>
      <c r="TD30" s="1"/>
      <c r="TE30" s="195">
        <v>28</v>
      </c>
      <c r="TF30" s="376" t="s">
        <v>984</v>
      </c>
      <c r="TR30" s="197" t="s">
        <v>110</v>
      </c>
      <c r="TS30" s="198"/>
      <c r="TT30" s="1"/>
      <c r="TU30" s="195">
        <v>28</v>
      </c>
      <c r="TV30" s="376" t="s">
        <v>984</v>
      </c>
      <c r="UH30" s="197" t="s">
        <v>110</v>
      </c>
      <c r="UI30" s="198"/>
      <c r="UJ30" s="1"/>
      <c r="UK30" s="195">
        <v>28</v>
      </c>
      <c r="UL30" s="376" t="s">
        <v>984</v>
      </c>
      <c r="UX30" s="197" t="s">
        <v>110</v>
      </c>
      <c r="UY30" s="198"/>
      <c r="UZ30" s="1"/>
      <c r="VA30" s="195">
        <v>28</v>
      </c>
      <c r="VB30" s="376" t="s">
        <v>984</v>
      </c>
      <c r="VN30" s="197" t="s">
        <v>110</v>
      </c>
      <c r="VO30" s="198"/>
      <c r="VP30" s="1"/>
      <c r="VQ30" s="195">
        <v>28</v>
      </c>
      <c r="VR30" s="376" t="s">
        <v>984</v>
      </c>
      <c r="WD30" s="197" t="s">
        <v>110</v>
      </c>
      <c r="WE30" s="198"/>
      <c r="WF30" s="1"/>
      <c r="WG30" s="195">
        <v>28</v>
      </c>
      <c r="WH30" s="376" t="s">
        <v>984</v>
      </c>
      <c r="WT30" s="197" t="s">
        <v>110</v>
      </c>
      <c r="WU30" s="198"/>
      <c r="WV30" s="1"/>
      <c r="WW30" s="195">
        <v>28</v>
      </c>
      <c r="WX30" s="376" t="s">
        <v>984</v>
      </c>
      <c r="XJ30" s="197" t="s">
        <v>110</v>
      </c>
      <c r="XK30" s="198"/>
      <c r="XL30" s="1"/>
      <c r="XM30" s="195">
        <v>28</v>
      </c>
      <c r="XN30" s="376" t="s">
        <v>984</v>
      </c>
      <c r="XZ30" s="197" t="s">
        <v>110</v>
      </c>
      <c r="YA30" s="198"/>
      <c r="YB30" s="1"/>
      <c r="YC30" s="195">
        <v>28</v>
      </c>
      <c r="YD30" s="376" t="s">
        <v>984</v>
      </c>
      <c r="YP30" s="197" t="s">
        <v>110</v>
      </c>
      <c r="YQ30" s="198"/>
      <c r="YR30" s="1"/>
      <c r="YS30" s="195">
        <v>28</v>
      </c>
      <c r="YT30" s="376" t="s">
        <v>984</v>
      </c>
      <c r="ZF30" s="197" t="s">
        <v>110</v>
      </c>
      <c r="ZG30" s="198"/>
      <c r="ZH30" s="1"/>
      <c r="ZI30" s="195">
        <v>28</v>
      </c>
      <c r="ZJ30" s="376" t="s">
        <v>984</v>
      </c>
      <c r="ZV30" s="197" t="s">
        <v>110</v>
      </c>
      <c r="ZW30" s="198"/>
      <c r="ZX30" s="1"/>
      <c r="ZY30" s="195">
        <v>28</v>
      </c>
      <c r="ZZ30" s="376" t="s">
        <v>984</v>
      </c>
      <c r="AAL30" s="197" t="s">
        <v>110</v>
      </c>
      <c r="AAM30" s="198"/>
      <c r="AAN30" s="1"/>
      <c r="AAO30" s="195">
        <v>28</v>
      </c>
      <c r="AAP30" s="376" t="s">
        <v>984</v>
      </c>
      <c r="ABB30" s="197" t="s">
        <v>110</v>
      </c>
      <c r="ABC30" s="198"/>
      <c r="ABD30" s="1"/>
      <c r="ABE30" s="195">
        <v>28</v>
      </c>
      <c r="ABF30" s="376" t="s">
        <v>984</v>
      </c>
      <c r="ABR30" s="197" t="s">
        <v>110</v>
      </c>
      <c r="ABS30" s="198"/>
      <c r="ABT30" s="1"/>
      <c r="ABU30" s="195">
        <v>28</v>
      </c>
      <c r="ABV30" s="376" t="s">
        <v>984</v>
      </c>
      <c r="ACH30" s="197" t="s">
        <v>110</v>
      </c>
      <c r="ACI30" s="198"/>
      <c r="ACJ30" s="1"/>
      <c r="ACK30" s="195">
        <v>28</v>
      </c>
      <c r="ACL30" s="376" t="s">
        <v>984</v>
      </c>
      <c r="ACX30" s="197" t="s">
        <v>110</v>
      </c>
      <c r="ACY30" s="198"/>
      <c r="ACZ30" s="1"/>
      <c r="ADA30" s="195">
        <v>28</v>
      </c>
      <c r="ADB30" s="376" t="s">
        <v>984</v>
      </c>
      <c r="ADN30" s="197" t="s">
        <v>110</v>
      </c>
      <c r="ADO30" s="198"/>
      <c r="ADP30" s="1"/>
      <c r="ADQ30" s="195">
        <v>28</v>
      </c>
      <c r="ADR30" s="376" t="s">
        <v>984</v>
      </c>
      <c r="AED30" s="197" t="s">
        <v>110</v>
      </c>
      <c r="AEE30" s="198"/>
      <c r="AEF30" s="1"/>
      <c r="AEG30" s="195">
        <v>28</v>
      </c>
      <c r="AEH30" s="376" t="s">
        <v>984</v>
      </c>
      <c r="AET30" s="197" t="s">
        <v>110</v>
      </c>
      <c r="AEU30" s="198"/>
      <c r="AEV30" s="1"/>
      <c r="AEW30" s="195">
        <v>28</v>
      </c>
      <c r="AEX30" s="376" t="s">
        <v>984</v>
      </c>
      <c r="AFJ30" s="197" t="s">
        <v>110</v>
      </c>
      <c r="AFK30" s="198"/>
      <c r="AFL30" s="1"/>
      <c r="AFM30" s="195">
        <v>28</v>
      </c>
      <c r="AFN30" s="376" t="s">
        <v>984</v>
      </c>
      <c r="AFZ30" s="197" t="s">
        <v>110</v>
      </c>
      <c r="AGA30" s="198"/>
      <c r="AGB30" s="1"/>
      <c r="AGC30" s="195">
        <v>28</v>
      </c>
      <c r="AGD30" s="376" t="s">
        <v>984</v>
      </c>
      <c r="AGP30" s="197" t="s">
        <v>110</v>
      </c>
      <c r="AGQ30" s="198"/>
      <c r="AGR30" s="1"/>
      <c r="AGS30" s="195">
        <v>28</v>
      </c>
      <c r="AGT30" s="376" t="s">
        <v>984</v>
      </c>
      <c r="AHF30" s="197" t="s">
        <v>110</v>
      </c>
      <c r="AHG30" s="198"/>
      <c r="AHH30" s="1"/>
      <c r="AHI30" s="195">
        <v>28</v>
      </c>
      <c r="AHJ30" s="376" t="s">
        <v>984</v>
      </c>
      <c r="AHV30" s="197" t="s">
        <v>110</v>
      </c>
      <c r="AHW30" s="198"/>
      <c r="AHX30" s="1"/>
      <c r="AHY30" s="195">
        <v>28</v>
      </c>
      <c r="AHZ30" s="376" t="s">
        <v>984</v>
      </c>
      <c r="AIL30" s="197" t="s">
        <v>110</v>
      </c>
      <c r="AIM30" s="198"/>
      <c r="AIN30" s="1"/>
      <c r="AIO30" s="195">
        <v>28</v>
      </c>
      <c r="AIP30" s="376" t="s">
        <v>984</v>
      </c>
      <c r="AJB30" s="197" t="s">
        <v>110</v>
      </c>
      <c r="AJC30" s="198"/>
      <c r="AJD30" s="1"/>
      <c r="AJE30" s="195">
        <v>28</v>
      </c>
      <c r="AJF30" s="376" t="s">
        <v>984</v>
      </c>
      <c r="AJR30" s="197" t="s">
        <v>110</v>
      </c>
      <c r="AJS30" s="198"/>
      <c r="AJT30" s="1"/>
      <c r="AJU30" s="195">
        <v>28</v>
      </c>
      <c r="AJV30" s="376" t="s">
        <v>984</v>
      </c>
      <c r="AKH30" s="197" t="s">
        <v>110</v>
      </c>
      <c r="AKI30" s="198"/>
      <c r="AKJ30" s="1"/>
      <c r="AKK30" s="195">
        <v>28</v>
      </c>
      <c r="AKL30" s="376" t="s">
        <v>984</v>
      </c>
      <c r="AKX30" s="197" t="s">
        <v>110</v>
      </c>
      <c r="AKY30" s="198"/>
      <c r="AKZ30" s="1"/>
      <c r="ALA30" s="195">
        <v>28</v>
      </c>
      <c r="ALB30" s="376" t="s">
        <v>984</v>
      </c>
      <c r="ALN30" s="197" t="s">
        <v>110</v>
      </c>
      <c r="ALO30" s="198"/>
      <c r="ALP30" s="1"/>
      <c r="ALQ30" s="195">
        <v>28</v>
      </c>
      <c r="ALR30" s="376" t="s">
        <v>984</v>
      </c>
      <c r="AMD30" s="197" t="s">
        <v>110</v>
      </c>
      <c r="AME30" s="198"/>
      <c r="AMF30" s="1"/>
      <c r="AMG30" s="195">
        <v>28</v>
      </c>
      <c r="AMH30" s="376" t="s">
        <v>984</v>
      </c>
      <c r="AMT30" s="197" t="s">
        <v>110</v>
      </c>
      <c r="AMU30" s="198"/>
      <c r="AMV30" s="1"/>
      <c r="AMW30" s="195">
        <v>28</v>
      </c>
      <c r="AMX30" s="376" t="s">
        <v>984</v>
      </c>
      <c r="ANJ30" s="197" t="s">
        <v>110</v>
      </c>
      <c r="ANK30" s="198"/>
      <c r="ANL30" s="1"/>
      <c r="ANM30" s="195">
        <v>28</v>
      </c>
      <c r="ANN30" s="376" t="s">
        <v>984</v>
      </c>
      <c r="ANZ30" s="197" t="s">
        <v>110</v>
      </c>
      <c r="AOA30" s="198"/>
      <c r="AOB30" s="1"/>
      <c r="AOC30" s="195">
        <v>28</v>
      </c>
      <c r="AOD30" s="376" t="s">
        <v>984</v>
      </c>
      <c r="AOP30" s="197" t="s">
        <v>110</v>
      </c>
      <c r="AOQ30" s="198"/>
      <c r="AOR30" s="1"/>
      <c r="AOS30" s="195">
        <v>28</v>
      </c>
      <c r="AOT30" s="376" t="s">
        <v>984</v>
      </c>
      <c r="APF30" s="197" t="s">
        <v>110</v>
      </c>
      <c r="APG30" s="198"/>
      <c r="APH30" s="1"/>
      <c r="API30" s="195">
        <v>28</v>
      </c>
      <c r="APJ30" s="376" t="s">
        <v>984</v>
      </c>
      <c r="APV30" s="197" t="s">
        <v>110</v>
      </c>
      <c r="APW30" s="198"/>
      <c r="APX30" s="1"/>
      <c r="APY30" s="195">
        <v>28</v>
      </c>
      <c r="APZ30" s="376" t="s">
        <v>984</v>
      </c>
      <c r="AQL30" s="197" t="s">
        <v>110</v>
      </c>
      <c r="AQM30" s="198"/>
      <c r="AQN30" s="1"/>
      <c r="AQO30" s="195">
        <v>28</v>
      </c>
      <c r="AQP30" s="376" t="s">
        <v>984</v>
      </c>
      <c r="ARB30" s="197" t="s">
        <v>110</v>
      </c>
      <c r="ARC30" s="198"/>
      <c r="ARD30" s="1"/>
      <c r="ARE30" s="195">
        <v>28</v>
      </c>
      <c r="ARF30" s="376" t="s">
        <v>984</v>
      </c>
      <c r="ARR30" s="197" t="s">
        <v>110</v>
      </c>
      <c r="ARS30" s="198"/>
      <c r="ART30" s="1"/>
      <c r="ARU30" s="195">
        <v>28</v>
      </c>
      <c r="ARV30" s="376" t="s">
        <v>984</v>
      </c>
      <c r="ASH30" s="197" t="s">
        <v>110</v>
      </c>
      <c r="ASI30" s="198"/>
      <c r="ASJ30" s="1"/>
      <c r="ASK30" s="195">
        <v>28</v>
      </c>
      <c r="ASL30" s="376" t="s">
        <v>984</v>
      </c>
      <c r="ASX30" s="197" t="s">
        <v>110</v>
      </c>
      <c r="ASY30" s="198"/>
      <c r="ASZ30" s="1"/>
      <c r="ATA30" s="195">
        <v>28</v>
      </c>
      <c r="ATB30" s="376" t="s">
        <v>984</v>
      </c>
      <c r="ATN30" s="197" t="s">
        <v>110</v>
      </c>
      <c r="ATO30" s="198"/>
      <c r="ATP30" s="1"/>
      <c r="ATQ30" s="195">
        <v>28</v>
      </c>
      <c r="ATR30" s="376" t="s">
        <v>984</v>
      </c>
      <c r="AUD30" s="197" t="s">
        <v>110</v>
      </c>
      <c r="AUE30" s="198"/>
      <c r="AUF30" s="1"/>
      <c r="AUG30" s="195">
        <v>28</v>
      </c>
      <c r="AUH30" s="376" t="s">
        <v>984</v>
      </c>
      <c r="AUT30" s="197" t="s">
        <v>110</v>
      </c>
      <c r="AUU30" s="198"/>
      <c r="AUV30" s="1"/>
      <c r="AUW30" s="195">
        <v>28</v>
      </c>
      <c r="AUX30" s="376" t="s">
        <v>984</v>
      </c>
      <c r="AVJ30" s="197" t="s">
        <v>110</v>
      </c>
      <c r="AVK30" s="198"/>
      <c r="AVL30" s="1"/>
      <c r="AVM30" s="195">
        <v>28</v>
      </c>
      <c r="AVN30" s="376" t="s">
        <v>984</v>
      </c>
      <c r="AVZ30" s="197" t="s">
        <v>110</v>
      </c>
      <c r="AWA30" s="198"/>
      <c r="AWB30" s="1"/>
      <c r="AWC30" s="195">
        <v>28</v>
      </c>
      <c r="AWD30" s="376" t="s">
        <v>984</v>
      </c>
      <c r="AWP30" s="197" t="s">
        <v>110</v>
      </c>
      <c r="AWQ30" s="198"/>
      <c r="AWR30" s="1"/>
      <c r="AWS30" s="195">
        <v>28</v>
      </c>
      <c r="AWT30" s="376" t="s">
        <v>984</v>
      </c>
      <c r="AXF30" s="197" t="s">
        <v>110</v>
      </c>
      <c r="AXG30" s="198"/>
      <c r="AXH30" s="1"/>
      <c r="AXI30" s="195">
        <v>28</v>
      </c>
      <c r="AXJ30" s="376" t="s">
        <v>984</v>
      </c>
      <c r="AXV30" s="197" t="s">
        <v>110</v>
      </c>
      <c r="AXW30" s="198"/>
      <c r="AXX30" s="1"/>
      <c r="AXY30" s="195">
        <v>28</v>
      </c>
      <c r="AXZ30" s="376" t="s">
        <v>984</v>
      </c>
      <c r="AYL30" s="197" t="s">
        <v>110</v>
      </c>
      <c r="AYM30" s="198"/>
      <c r="AYN30" s="1"/>
      <c r="AYO30" s="195">
        <v>28</v>
      </c>
      <c r="AYP30" s="376" t="s">
        <v>984</v>
      </c>
      <c r="AZB30" s="197" t="s">
        <v>110</v>
      </c>
      <c r="AZC30" s="198"/>
      <c r="AZD30" s="1"/>
      <c r="AZE30" s="195">
        <v>28</v>
      </c>
      <c r="AZF30" s="376" t="s">
        <v>984</v>
      </c>
      <c r="AZR30" s="197" t="s">
        <v>110</v>
      </c>
      <c r="AZS30" s="198"/>
      <c r="AZT30" s="1"/>
      <c r="AZU30" s="195">
        <v>28</v>
      </c>
      <c r="AZV30" s="376" t="s">
        <v>984</v>
      </c>
      <c r="BAH30" s="197" t="s">
        <v>110</v>
      </c>
      <c r="BAI30" s="198"/>
      <c r="BAJ30" s="1"/>
      <c r="BAK30" s="195">
        <v>28</v>
      </c>
      <c r="BAL30" s="376" t="s">
        <v>984</v>
      </c>
      <c r="BAX30" s="197" t="s">
        <v>110</v>
      </c>
      <c r="BAY30" s="198"/>
      <c r="BAZ30" s="1"/>
      <c r="BBA30" s="195">
        <v>28</v>
      </c>
      <c r="BBB30" s="376" t="s">
        <v>984</v>
      </c>
      <c r="BBN30" s="197" t="s">
        <v>110</v>
      </c>
      <c r="BBO30" s="198"/>
      <c r="BBP30" s="1"/>
      <c r="BBQ30" s="195">
        <v>28</v>
      </c>
      <c r="BBR30" s="376" t="s">
        <v>984</v>
      </c>
      <c r="BCD30" s="197" t="s">
        <v>110</v>
      </c>
      <c r="BCE30" s="198"/>
      <c r="BCF30" s="1"/>
      <c r="BCG30" s="195">
        <v>28</v>
      </c>
      <c r="BCH30" s="376" t="s">
        <v>984</v>
      </c>
      <c r="BCT30" s="197" t="s">
        <v>110</v>
      </c>
      <c r="BCU30" s="198"/>
      <c r="BCV30" s="1"/>
      <c r="BCW30" s="195">
        <v>28</v>
      </c>
      <c r="BCX30" s="376" t="s">
        <v>984</v>
      </c>
      <c r="BDJ30" s="197" t="s">
        <v>110</v>
      </c>
      <c r="BDK30" s="198"/>
      <c r="BDL30" s="1"/>
      <c r="BDM30" s="195">
        <v>28</v>
      </c>
      <c r="BDN30" s="376" t="s">
        <v>984</v>
      </c>
      <c r="BDZ30" s="197" t="s">
        <v>110</v>
      </c>
      <c r="BEA30" s="198"/>
      <c r="BEB30" s="1"/>
      <c r="BEC30" s="195">
        <v>28</v>
      </c>
      <c r="BED30" s="376" t="s">
        <v>984</v>
      </c>
      <c r="BEP30" s="197" t="s">
        <v>110</v>
      </c>
      <c r="BEQ30" s="198"/>
      <c r="BER30" s="1"/>
      <c r="BES30" s="195">
        <v>28</v>
      </c>
      <c r="BET30" s="376" t="s">
        <v>984</v>
      </c>
      <c r="BFF30" s="197" t="s">
        <v>110</v>
      </c>
      <c r="BFG30" s="198"/>
      <c r="BFH30" s="1"/>
      <c r="BFI30" s="195">
        <v>28</v>
      </c>
      <c r="BFJ30" s="376" t="s">
        <v>984</v>
      </c>
      <c r="BFV30" s="197" t="s">
        <v>110</v>
      </c>
      <c r="BFW30" s="198"/>
      <c r="BFX30" s="1"/>
      <c r="BFY30" s="195">
        <v>28</v>
      </c>
      <c r="BFZ30" s="376" t="s">
        <v>984</v>
      </c>
      <c r="BGL30" s="197" t="s">
        <v>110</v>
      </c>
      <c r="BGM30" s="198"/>
      <c r="BGN30" s="1"/>
      <c r="BGO30" s="195">
        <v>28</v>
      </c>
      <c r="BGP30" s="376" t="s">
        <v>984</v>
      </c>
      <c r="BHB30" s="197" t="s">
        <v>110</v>
      </c>
      <c r="BHC30" s="198"/>
      <c r="BHD30" s="1"/>
      <c r="BHE30" s="195">
        <v>28</v>
      </c>
      <c r="BHF30" s="376" t="s">
        <v>984</v>
      </c>
      <c r="BHR30" s="197" t="s">
        <v>110</v>
      </c>
      <c r="BHS30" s="198"/>
      <c r="BHT30" s="1"/>
      <c r="BHU30" s="195">
        <v>28</v>
      </c>
      <c r="BHV30" s="376" t="s">
        <v>984</v>
      </c>
      <c r="BIH30" s="197" t="s">
        <v>110</v>
      </c>
      <c r="BII30" s="198"/>
      <c r="BIJ30" s="1"/>
      <c r="BIK30" s="195">
        <v>28</v>
      </c>
      <c r="BIL30" s="376" t="s">
        <v>984</v>
      </c>
      <c r="BIX30" s="197" t="s">
        <v>110</v>
      </c>
      <c r="BIY30" s="198"/>
      <c r="BIZ30" s="1"/>
      <c r="BJA30" s="195">
        <v>28</v>
      </c>
      <c r="BJB30" s="376" t="s">
        <v>984</v>
      </c>
      <c r="BJN30" s="197" t="s">
        <v>110</v>
      </c>
      <c r="BJO30" s="198"/>
      <c r="BJP30" s="1"/>
      <c r="BJQ30" s="195">
        <v>28</v>
      </c>
      <c r="BJR30" s="376" t="s">
        <v>984</v>
      </c>
      <c r="BKD30" s="197" t="s">
        <v>110</v>
      </c>
      <c r="BKE30" s="198"/>
      <c r="BKF30" s="1"/>
      <c r="BKG30" s="195">
        <v>28</v>
      </c>
      <c r="BKH30" s="376" t="s">
        <v>984</v>
      </c>
      <c r="BKT30" s="197" t="s">
        <v>110</v>
      </c>
      <c r="BKU30" s="198"/>
      <c r="BKV30" s="1"/>
      <c r="BKW30" s="195">
        <v>28</v>
      </c>
      <c r="BKX30" s="376" t="s">
        <v>984</v>
      </c>
      <c r="BLJ30" s="197" t="s">
        <v>110</v>
      </c>
      <c r="BLK30" s="198"/>
      <c r="BLL30" s="1"/>
      <c r="BLM30" s="195">
        <v>28</v>
      </c>
      <c r="BLN30" s="376" t="s">
        <v>984</v>
      </c>
      <c r="BLZ30" s="197" t="s">
        <v>110</v>
      </c>
      <c r="BMA30" s="198"/>
      <c r="BMB30" s="1"/>
      <c r="BMC30" s="195">
        <v>28</v>
      </c>
      <c r="BMD30" s="376" t="s">
        <v>984</v>
      </c>
      <c r="BMP30" s="197" t="s">
        <v>110</v>
      </c>
      <c r="BMQ30" s="198"/>
      <c r="BMR30" s="1"/>
      <c r="BMS30" s="195">
        <v>28</v>
      </c>
      <c r="BMT30" s="376" t="s">
        <v>984</v>
      </c>
      <c r="BNF30" s="197" t="s">
        <v>110</v>
      </c>
      <c r="BNG30" s="198"/>
      <c r="BNH30" s="1"/>
      <c r="BNI30" s="195">
        <v>28</v>
      </c>
      <c r="BNJ30" s="376" t="s">
        <v>984</v>
      </c>
      <c r="BNV30" s="197" t="s">
        <v>110</v>
      </c>
      <c r="BNW30" s="198"/>
      <c r="BNX30" s="1"/>
      <c r="BNY30" s="195">
        <v>28</v>
      </c>
      <c r="BNZ30" s="376" t="s">
        <v>984</v>
      </c>
      <c r="BOL30" s="197" t="s">
        <v>110</v>
      </c>
      <c r="BOM30" s="198"/>
      <c r="BON30" s="1"/>
      <c r="BOO30" s="195">
        <v>28</v>
      </c>
      <c r="BOP30" s="376" t="s">
        <v>984</v>
      </c>
      <c r="BPB30" s="197" t="s">
        <v>110</v>
      </c>
      <c r="BPC30" s="198"/>
      <c r="BPD30" s="1"/>
      <c r="BPE30" s="195">
        <v>28</v>
      </c>
      <c r="BPF30" s="376" t="s">
        <v>984</v>
      </c>
      <c r="BPR30" s="197" t="s">
        <v>110</v>
      </c>
      <c r="BPS30" s="198"/>
      <c r="BPT30" s="1"/>
      <c r="BPU30" s="195">
        <v>28</v>
      </c>
      <c r="BPV30" s="376" t="s">
        <v>984</v>
      </c>
      <c r="BQH30" s="197" t="s">
        <v>110</v>
      </c>
      <c r="BQI30" s="198"/>
      <c r="BQJ30" s="1"/>
      <c r="BQK30" s="195">
        <v>28</v>
      </c>
      <c r="BQL30" s="376" t="s">
        <v>984</v>
      </c>
      <c r="BQX30" s="197" t="s">
        <v>110</v>
      </c>
      <c r="BQY30" s="198"/>
      <c r="BQZ30" s="1"/>
      <c r="BRA30" s="195">
        <v>28</v>
      </c>
      <c r="BRB30" s="376" t="s">
        <v>984</v>
      </c>
      <c r="BRN30" s="197" t="s">
        <v>110</v>
      </c>
      <c r="BRO30" s="198"/>
      <c r="BRP30" s="1"/>
      <c r="BRQ30" s="195">
        <v>28</v>
      </c>
      <c r="BRR30" s="376" t="s">
        <v>984</v>
      </c>
      <c r="BSD30" s="197" t="s">
        <v>110</v>
      </c>
      <c r="BSE30" s="198"/>
      <c r="BSF30" s="1"/>
      <c r="BSG30" s="195">
        <v>28</v>
      </c>
      <c r="BSH30" s="376" t="s">
        <v>984</v>
      </c>
      <c r="BST30" s="197" t="s">
        <v>110</v>
      </c>
      <c r="BSU30" s="198"/>
      <c r="BSV30" s="1"/>
      <c r="BSW30" s="195">
        <v>28</v>
      </c>
      <c r="BSX30" s="376" t="s">
        <v>984</v>
      </c>
      <c r="BTJ30" s="197" t="s">
        <v>110</v>
      </c>
      <c r="BTK30" s="198"/>
      <c r="BTL30" s="1"/>
      <c r="BTM30" s="195">
        <v>28</v>
      </c>
      <c r="BTN30" s="376" t="s">
        <v>984</v>
      </c>
      <c r="BTZ30" s="197" t="s">
        <v>110</v>
      </c>
      <c r="BUA30" s="198"/>
      <c r="BUB30" s="1"/>
      <c r="BUC30" s="195">
        <v>28</v>
      </c>
      <c r="BUD30" s="376" t="s">
        <v>984</v>
      </c>
      <c r="BUP30" s="197" t="s">
        <v>110</v>
      </c>
      <c r="BUQ30" s="198"/>
      <c r="BUR30" s="1"/>
      <c r="BUS30" s="195">
        <v>28</v>
      </c>
      <c r="BUT30" s="376" t="s">
        <v>984</v>
      </c>
      <c r="BVF30" s="197" t="s">
        <v>110</v>
      </c>
      <c r="BVG30" s="198"/>
      <c r="BVH30" s="1"/>
      <c r="BVI30" s="195">
        <v>28</v>
      </c>
      <c r="BVJ30" s="376" t="s">
        <v>984</v>
      </c>
      <c r="BVV30" s="197" t="s">
        <v>110</v>
      </c>
      <c r="BVW30" s="198"/>
      <c r="BVX30" s="1"/>
      <c r="BVY30" s="195">
        <v>28</v>
      </c>
      <c r="BVZ30" s="376" t="s">
        <v>984</v>
      </c>
      <c r="BWL30" s="197" t="s">
        <v>110</v>
      </c>
      <c r="BWM30" s="198"/>
      <c r="BWN30" s="1"/>
      <c r="BWO30" s="195">
        <v>28</v>
      </c>
      <c r="BWP30" s="376" t="s">
        <v>984</v>
      </c>
      <c r="BXB30" s="197" t="s">
        <v>110</v>
      </c>
      <c r="BXC30" s="198"/>
      <c r="BXD30" s="1"/>
      <c r="BXE30" s="195">
        <v>28</v>
      </c>
      <c r="BXF30" s="376" t="s">
        <v>984</v>
      </c>
      <c r="BXR30" s="197" t="s">
        <v>110</v>
      </c>
      <c r="BXS30" s="198"/>
      <c r="BXT30" s="1"/>
      <c r="BXU30" s="195">
        <v>28</v>
      </c>
      <c r="BXV30" s="376" t="s">
        <v>984</v>
      </c>
      <c r="BYH30" s="197" t="s">
        <v>110</v>
      </c>
      <c r="BYI30" s="198"/>
      <c r="BYJ30" s="1"/>
      <c r="BYK30" s="195">
        <v>28</v>
      </c>
      <c r="BYL30" s="376" t="s">
        <v>984</v>
      </c>
      <c r="BYX30" s="197" t="s">
        <v>110</v>
      </c>
      <c r="BYY30" s="198"/>
      <c r="BYZ30" s="1"/>
      <c r="BZA30" s="195">
        <v>28</v>
      </c>
      <c r="BZB30" s="376" t="s">
        <v>984</v>
      </c>
      <c r="BZN30" s="197" t="s">
        <v>110</v>
      </c>
      <c r="BZO30" s="198"/>
      <c r="BZP30" s="1"/>
      <c r="BZQ30" s="195">
        <v>28</v>
      </c>
      <c r="BZR30" s="376" t="s">
        <v>984</v>
      </c>
      <c r="CAD30" s="197" t="s">
        <v>110</v>
      </c>
      <c r="CAE30" s="198"/>
      <c r="CAF30" s="1"/>
      <c r="CAG30" s="195">
        <v>28</v>
      </c>
      <c r="CAH30" s="376" t="s">
        <v>984</v>
      </c>
      <c r="CAT30" s="197" t="s">
        <v>110</v>
      </c>
      <c r="CAU30" s="198"/>
      <c r="CAV30" s="1"/>
      <c r="CAW30" s="195">
        <v>28</v>
      </c>
      <c r="CAX30" s="376" t="s">
        <v>984</v>
      </c>
      <c r="CBJ30" s="197" t="s">
        <v>110</v>
      </c>
      <c r="CBK30" s="198"/>
      <c r="CBL30" s="1"/>
      <c r="CBM30" s="195">
        <v>28</v>
      </c>
      <c r="CBN30" s="376" t="s">
        <v>984</v>
      </c>
      <c r="CBZ30" s="197" t="s">
        <v>110</v>
      </c>
      <c r="CCA30" s="198"/>
      <c r="CCB30" s="1"/>
      <c r="CCC30" s="195">
        <v>28</v>
      </c>
      <c r="CCD30" s="376" t="s">
        <v>984</v>
      </c>
      <c r="CCP30" s="197" t="s">
        <v>110</v>
      </c>
      <c r="CCQ30" s="198"/>
      <c r="CCR30" s="1"/>
      <c r="CCS30" s="195">
        <v>28</v>
      </c>
      <c r="CCT30" s="376" t="s">
        <v>984</v>
      </c>
      <c r="CDF30" s="197" t="s">
        <v>110</v>
      </c>
      <c r="CDG30" s="198"/>
      <c r="CDH30" s="1"/>
      <c r="CDI30" s="195">
        <v>28</v>
      </c>
      <c r="CDJ30" s="376" t="s">
        <v>984</v>
      </c>
      <c r="CDV30" s="197" t="s">
        <v>110</v>
      </c>
      <c r="CDW30" s="198"/>
      <c r="CDX30" s="1"/>
      <c r="CDY30" s="195">
        <v>28</v>
      </c>
      <c r="CDZ30" s="376" t="s">
        <v>984</v>
      </c>
      <c r="CEL30" s="197" t="s">
        <v>110</v>
      </c>
      <c r="CEM30" s="198"/>
      <c r="CEN30" s="1"/>
      <c r="CEO30" s="195">
        <v>28</v>
      </c>
      <c r="CEP30" s="376" t="s">
        <v>984</v>
      </c>
      <c r="CFB30" s="197" t="s">
        <v>110</v>
      </c>
      <c r="CFC30" s="198"/>
      <c r="CFD30" s="1"/>
      <c r="CFE30" s="195">
        <v>28</v>
      </c>
      <c r="CFF30" s="376" t="s">
        <v>984</v>
      </c>
      <c r="CFR30" s="197" t="s">
        <v>110</v>
      </c>
      <c r="CFS30" s="198"/>
      <c r="CFT30" s="1"/>
      <c r="CFU30" s="195">
        <v>28</v>
      </c>
      <c r="CFV30" s="376" t="s">
        <v>984</v>
      </c>
      <c r="CGH30" s="197" t="s">
        <v>110</v>
      </c>
      <c r="CGI30" s="198"/>
      <c r="CGJ30" s="1"/>
      <c r="CGK30" s="195">
        <v>28</v>
      </c>
      <c r="CGL30" s="376" t="s">
        <v>984</v>
      </c>
      <c r="CGX30" s="197" t="s">
        <v>110</v>
      </c>
      <c r="CGY30" s="198"/>
      <c r="CGZ30" s="1"/>
      <c r="CHA30" s="195">
        <v>28</v>
      </c>
      <c r="CHB30" s="376" t="s">
        <v>984</v>
      </c>
      <c r="CHN30" s="197" t="s">
        <v>110</v>
      </c>
      <c r="CHO30" s="198"/>
      <c r="CHP30" s="1"/>
      <c r="CHQ30" s="195">
        <v>28</v>
      </c>
      <c r="CHR30" s="376" t="s">
        <v>984</v>
      </c>
      <c r="CID30" s="197" t="s">
        <v>110</v>
      </c>
      <c r="CIE30" s="198"/>
      <c r="CIF30" s="1"/>
      <c r="CIG30" s="195">
        <v>28</v>
      </c>
      <c r="CIH30" s="376" t="s">
        <v>984</v>
      </c>
      <c r="CIT30" s="197" t="s">
        <v>110</v>
      </c>
      <c r="CIU30" s="198"/>
      <c r="CIV30" s="1"/>
      <c r="CIW30" s="195">
        <v>28</v>
      </c>
      <c r="CIX30" s="376" t="s">
        <v>984</v>
      </c>
      <c r="CJJ30" s="197" t="s">
        <v>110</v>
      </c>
      <c r="CJK30" s="198"/>
      <c r="CJL30" s="1"/>
      <c r="CJM30" s="195">
        <v>28</v>
      </c>
      <c r="CJN30" s="376" t="s">
        <v>984</v>
      </c>
      <c r="CJZ30" s="197" t="s">
        <v>110</v>
      </c>
      <c r="CKA30" s="198"/>
      <c r="CKB30" s="1"/>
      <c r="CKC30" s="195">
        <v>28</v>
      </c>
      <c r="CKD30" s="376" t="s">
        <v>984</v>
      </c>
      <c r="CKP30" s="197" t="s">
        <v>110</v>
      </c>
      <c r="CKQ30" s="198"/>
      <c r="CKR30" s="1"/>
      <c r="CKS30" s="195">
        <v>28</v>
      </c>
      <c r="CKT30" s="376" t="s">
        <v>984</v>
      </c>
      <c r="CLF30" s="197" t="s">
        <v>110</v>
      </c>
      <c r="CLG30" s="198"/>
      <c r="CLH30" s="1"/>
      <c r="CLI30" s="195">
        <v>28</v>
      </c>
      <c r="CLJ30" s="376" t="s">
        <v>984</v>
      </c>
      <c r="CLV30" s="197" t="s">
        <v>110</v>
      </c>
      <c r="CLW30" s="198"/>
      <c r="CLX30" s="1"/>
      <c r="CLY30" s="195">
        <v>28</v>
      </c>
      <c r="CLZ30" s="376" t="s">
        <v>984</v>
      </c>
      <c r="CML30" s="197" t="s">
        <v>110</v>
      </c>
      <c r="CMM30" s="198"/>
      <c r="CMN30" s="1"/>
      <c r="CMO30" s="195">
        <v>28</v>
      </c>
      <c r="CMP30" s="376" t="s">
        <v>984</v>
      </c>
      <c r="CNB30" s="197" t="s">
        <v>110</v>
      </c>
      <c r="CNC30" s="198"/>
      <c r="CND30" s="1"/>
      <c r="CNE30" s="195">
        <v>28</v>
      </c>
      <c r="CNF30" s="376" t="s">
        <v>984</v>
      </c>
      <c r="CNR30" s="197" t="s">
        <v>110</v>
      </c>
      <c r="CNS30" s="198"/>
      <c r="CNT30" s="1"/>
      <c r="CNU30" s="195">
        <v>28</v>
      </c>
      <c r="CNV30" s="376" t="s">
        <v>984</v>
      </c>
      <c r="COH30" s="197" t="s">
        <v>110</v>
      </c>
      <c r="COI30" s="198"/>
      <c r="COJ30" s="1"/>
      <c r="COK30" s="195">
        <v>28</v>
      </c>
      <c r="COL30" s="376" t="s">
        <v>984</v>
      </c>
      <c r="COX30" s="197" t="s">
        <v>110</v>
      </c>
      <c r="COY30" s="198"/>
      <c r="COZ30" s="1"/>
      <c r="CPA30" s="195">
        <v>28</v>
      </c>
      <c r="CPB30" s="376" t="s">
        <v>984</v>
      </c>
      <c r="CPN30" s="197" t="s">
        <v>110</v>
      </c>
      <c r="CPO30" s="198"/>
      <c r="CPP30" s="1"/>
      <c r="CPQ30" s="195">
        <v>28</v>
      </c>
      <c r="CPR30" s="376" t="s">
        <v>984</v>
      </c>
      <c r="CQD30" s="197" t="s">
        <v>110</v>
      </c>
      <c r="CQE30" s="198"/>
      <c r="CQF30" s="1"/>
      <c r="CQG30" s="195">
        <v>28</v>
      </c>
      <c r="CQH30" s="376" t="s">
        <v>984</v>
      </c>
      <c r="CQT30" s="197" t="s">
        <v>110</v>
      </c>
      <c r="CQU30" s="198"/>
      <c r="CQV30" s="1"/>
      <c r="CQW30" s="195">
        <v>28</v>
      </c>
      <c r="CQX30" s="376" t="s">
        <v>984</v>
      </c>
      <c r="CRJ30" s="197" t="s">
        <v>110</v>
      </c>
      <c r="CRK30" s="198"/>
      <c r="CRL30" s="1"/>
      <c r="CRM30" s="195">
        <v>28</v>
      </c>
      <c r="CRN30" s="376" t="s">
        <v>984</v>
      </c>
      <c r="CRZ30" s="197" t="s">
        <v>110</v>
      </c>
      <c r="CSA30" s="198"/>
      <c r="CSB30" s="1"/>
      <c r="CSC30" s="195">
        <v>28</v>
      </c>
      <c r="CSD30" s="376" t="s">
        <v>984</v>
      </c>
      <c r="CSP30" s="197" t="s">
        <v>110</v>
      </c>
      <c r="CSQ30" s="198"/>
      <c r="CSR30" s="1"/>
      <c r="CSS30" s="195">
        <v>28</v>
      </c>
      <c r="CST30" s="376" t="s">
        <v>984</v>
      </c>
      <c r="CTF30" s="197" t="s">
        <v>110</v>
      </c>
      <c r="CTG30" s="198"/>
      <c r="CTH30" s="1"/>
      <c r="CTI30" s="195">
        <v>28</v>
      </c>
      <c r="CTJ30" s="376" t="s">
        <v>984</v>
      </c>
      <c r="CTV30" s="197" t="s">
        <v>110</v>
      </c>
      <c r="CTW30" s="198"/>
      <c r="CTX30" s="1"/>
      <c r="CTY30" s="195">
        <v>28</v>
      </c>
      <c r="CTZ30" s="376" t="s">
        <v>984</v>
      </c>
      <c r="CUL30" s="197" t="s">
        <v>110</v>
      </c>
      <c r="CUM30" s="198"/>
      <c r="CUN30" s="1"/>
      <c r="CUO30" s="195">
        <v>28</v>
      </c>
      <c r="CUP30" s="376" t="s">
        <v>984</v>
      </c>
      <c r="CVB30" s="197" t="s">
        <v>110</v>
      </c>
      <c r="CVC30" s="198"/>
      <c r="CVD30" s="1"/>
      <c r="CVE30" s="195">
        <v>28</v>
      </c>
      <c r="CVF30" s="376" t="s">
        <v>984</v>
      </c>
      <c r="CVR30" s="197" t="s">
        <v>110</v>
      </c>
      <c r="CVS30" s="198"/>
      <c r="CVT30" s="1"/>
      <c r="CVU30" s="195">
        <v>28</v>
      </c>
      <c r="CVV30" s="376" t="s">
        <v>984</v>
      </c>
      <c r="CWH30" s="197" t="s">
        <v>110</v>
      </c>
      <c r="CWI30" s="198"/>
      <c r="CWJ30" s="1"/>
      <c r="CWK30" s="195">
        <v>28</v>
      </c>
      <c r="CWL30" s="376" t="s">
        <v>984</v>
      </c>
      <c r="CWX30" s="197" t="s">
        <v>110</v>
      </c>
      <c r="CWY30" s="198"/>
      <c r="CWZ30" s="1"/>
      <c r="CXA30" s="195">
        <v>28</v>
      </c>
      <c r="CXB30" s="376" t="s">
        <v>984</v>
      </c>
      <c r="CXN30" s="197" t="s">
        <v>110</v>
      </c>
      <c r="CXO30" s="198"/>
      <c r="CXP30" s="1"/>
      <c r="CXQ30" s="195">
        <v>28</v>
      </c>
      <c r="CXR30" s="376" t="s">
        <v>984</v>
      </c>
      <c r="CYD30" s="197" t="s">
        <v>110</v>
      </c>
      <c r="CYE30" s="198"/>
      <c r="CYF30" s="1"/>
      <c r="CYG30" s="195">
        <v>28</v>
      </c>
      <c r="CYH30" s="376" t="s">
        <v>984</v>
      </c>
      <c r="CYT30" s="197" t="s">
        <v>110</v>
      </c>
      <c r="CYU30" s="198"/>
      <c r="CYV30" s="1"/>
      <c r="CYW30" s="195">
        <v>28</v>
      </c>
      <c r="CYX30" s="376" t="s">
        <v>984</v>
      </c>
      <c r="CZJ30" s="197" t="s">
        <v>110</v>
      </c>
      <c r="CZK30" s="198"/>
      <c r="CZL30" s="1"/>
      <c r="CZM30" s="195">
        <v>28</v>
      </c>
      <c r="CZN30" s="376" t="s">
        <v>984</v>
      </c>
      <c r="CZZ30" s="197" t="s">
        <v>110</v>
      </c>
      <c r="DAA30" s="198"/>
      <c r="DAB30" s="1"/>
      <c r="DAC30" s="195">
        <v>28</v>
      </c>
      <c r="DAD30" s="376" t="s">
        <v>984</v>
      </c>
      <c r="DAP30" s="197" t="s">
        <v>110</v>
      </c>
      <c r="DAQ30" s="198"/>
      <c r="DAR30" s="1"/>
      <c r="DAS30" s="195">
        <v>28</v>
      </c>
      <c r="DAT30" s="376" t="s">
        <v>984</v>
      </c>
      <c r="DBF30" s="197" t="s">
        <v>110</v>
      </c>
      <c r="DBG30" s="198"/>
      <c r="DBH30" s="1"/>
      <c r="DBI30" s="195">
        <v>28</v>
      </c>
      <c r="DBJ30" s="376" t="s">
        <v>984</v>
      </c>
      <c r="DBV30" s="197" t="s">
        <v>110</v>
      </c>
      <c r="DBW30" s="198"/>
      <c r="DBX30" s="1"/>
      <c r="DBY30" s="195">
        <v>28</v>
      </c>
      <c r="DBZ30" s="376" t="s">
        <v>984</v>
      </c>
      <c r="DCL30" s="197" t="s">
        <v>110</v>
      </c>
      <c r="DCM30" s="198"/>
      <c r="DCN30" s="1"/>
      <c r="DCO30" s="195">
        <v>28</v>
      </c>
      <c r="DCP30" s="376" t="s">
        <v>984</v>
      </c>
      <c r="DDB30" s="197" t="s">
        <v>110</v>
      </c>
      <c r="DDC30" s="198"/>
      <c r="DDD30" s="1"/>
      <c r="DDE30" s="195">
        <v>28</v>
      </c>
      <c r="DDF30" s="376" t="s">
        <v>984</v>
      </c>
      <c r="DDR30" s="197" t="s">
        <v>110</v>
      </c>
      <c r="DDS30" s="198"/>
      <c r="DDT30" s="1"/>
      <c r="DDU30" s="195">
        <v>28</v>
      </c>
      <c r="DDV30" s="376" t="s">
        <v>984</v>
      </c>
      <c r="DEH30" s="197" t="s">
        <v>110</v>
      </c>
      <c r="DEI30" s="198"/>
      <c r="DEJ30" s="1"/>
      <c r="DEK30" s="195">
        <v>28</v>
      </c>
      <c r="DEL30" s="376" t="s">
        <v>984</v>
      </c>
      <c r="DEX30" s="197" t="s">
        <v>110</v>
      </c>
      <c r="DEY30" s="198"/>
      <c r="DEZ30" s="1"/>
      <c r="DFA30" s="195">
        <v>28</v>
      </c>
      <c r="DFB30" s="376" t="s">
        <v>984</v>
      </c>
      <c r="DFN30" s="197" t="s">
        <v>110</v>
      </c>
      <c r="DFO30" s="198"/>
      <c r="DFP30" s="1"/>
      <c r="DFQ30" s="195">
        <v>28</v>
      </c>
      <c r="DFR30" s="376" t="s">
        <v>984</v>
      </c>
      <c r="DGD30" s="197" t="s">
        <v>110</v>
      </c>
      <c r="DGE30" s="198"/>
      <c r="DGF30" s="1"/>
      <c r="DGG30" s="195">
        <v>28</v>
      </c>
      <c r="DGH30" s="376" t="s">
        <v>984</v>
      </c>
      <c r="DGT30" s="197" t="s">
        <v>110</v>
      </c>
      <c r="DGU30" s="198"/>
      <c r="DGV30" s="1"/>
      <c r="DGW30" s="195">
        <v>28</v>
      </c>
      <c r="DGX30" s="376" t="s">
        <v>984</v>
      </c>
      <c r="DHJ30" s="197" t="s">
        <v>110</v>
      </c>
      <c r="DHK30" s="198"/>
      <c r="DHL30" s="1"/>
      <c r="DHM30" s="195">
        <v>28</v>
      </c>
      <c r="DHN30" s="376" t="s">
        <v>984</v>
      </c>
      <c r="DHZ30" s="197" t="s">
        <v>110</v>
      </c>
      <c r="DIA30" s="198"/>
      <c r="DIB30" s="1"/>
      <c r="DIC30" s="195">
        <v>28</v>
      </c>
      <c r="DID30" s="376" t="s">
        <v>984</v>
      </c>
      <c r="DIP30" s="197" t="s">
        <v>110</v>
      </c>
      <c r="DIQ30" s="198"/>
      <c r="DIR30" s="1"/>
      <c r="DIS30" s="195">
        <v>28</v>
      </c>
      <c r="DIT30" s="376" t="s">
        <v>984</v>
      </c>
      <c r="DJF30" s="197" t="s">
        <v>110</v>
      </c>
      <c r="DJG30" s="198"/>
      <c r="DJH30" s="1"/>
      <c r="DJI30" s="195">
        <v>28</v>
      </c>
      <c r="DJJ30" s="376" t="s">
        <v>984</v>
      </c>
      <c r="DJV30" s="197" t="s">
        <v>110</v>
      </c>
      <c r="DJW30" s="198"/>
      <c r="DJX30" s="1"/>
      <c r="DJY30" s="195">
        <v>28</v>
      </c>
      <c r="DJZ30" s="376" t="s">
        <v>984</v>
      </c>
      <c r="DKL30" s="197" t="s">
        <v>110</v>
      </c>
      <c r="DKM30" s="198"/>
      <c r="DKN30" s="1"/>
      <c r="DKO30" s="195">
        <v>28</v>
      </c>
      <c r="DKP30" s="376" t="s">
        <v>984</v>
      </c>
      <c r="DLB30" s="197" t="s">
        <v>110</v>
      </c>
      <c r="DLC30" s="198"/>
      <c r="DLD30" s="1"/>
      <c r="DLE30" s="195">
        <v>28</v>
      </c>
      <c r="DLF30" s="376" t="s">
        <v>984</v>
      </c>
      <c r="DLR30" s="197" t="s">
        <v>110</v>
      </c>
      <c r="DLS30" s="198"/>
      <c r="DLT30" s="1"/>
      <c r="DLU30" s="195">
        <v>28</v>
      </c>
      <c r="DLV30" s="376" t="s">
        <v>984</v>
      </c>
      <c r="DMH30" s="197" t="s">
        <v>110</v>
      </c>
      <c r="DMI30" s="198"/>
      <c r="DMJ30" s="1"/>
      <c r="DMK30" s="195">
        <v>28</v>
      </c>
      <c r="DML30" s="376" t="s">
        <v>984</v>
      </c>
      <c r="DMX30" s="197" t="s">
        <v>110</v>
      </c>
      <c r="DMY30" s="198"/>
      <c r="DMZ30" s="1"/>
      <c r="DNA30" s="195">
        <v>28</v>
      </c>
      <c r="DNB30" s="376" t="s">
        <v>984</v>
      </c>
      <c r="DNN30" s="197" t="s">
        <v>110</v>
      </c>
      <c r="DNO30" s="198"/>
      <c r="DNP30" s="1"/>
      <c r="DNQ30" s="195">
        <v>28</v>
      </c>
      <c r="DNR30" s="376" t="s">
        <v>984</v>
      </c>
      <c r="DOD30" s="197" t="s">
        <v>110</v>
      </c>
      <c r="DOE30" s="198"/>
      <c r="DOF30" s="1"/>
      <c r="DOG30" s="195">
        <v>28</v>
      </c>
      <c r="DOH30" s="376" t="s">
        <v>984</v>
      </c>
      <c r="DOT30" s="197" t="s">
        <v>110</v>
      </c>
      <c r="DOU30" s="198"/>
      <c r="DOV30" s="1"/>
      <c r="DOW30" s="195">
        <v>28</v>
      </c>
      <c r="DOX30" s="376" t="s">
        <v>984</v>
      </c>
      <c r="DPJ30" s="197" t="s">
        <v>110</v>
      </c>
      <c r="DPK30" s="198"/>
      <c r="DPL30" s="1"/>
      <c r="DPM30" s="195">
        <v>28</v>
      </c>
      <c r="DPN30" s="376" t="s">
        <v>984</v>
      </c>
      <c r="DPZ30" s="197" t="s">
        <v>110</v>
      </c>
      <c r="DQA30" s="198"/>
      <c r="DQB30" s="1"/>
      <c r="DQC30" s="195">
        <v>28</v>
      </c>
      <c r="DQD30" s="376" t="s">
        <v>984</v>
      </c>
      <c r="DQP30" s="197" t="s">
        <v>110</v>
      </c>
      <c r="DQQ30" s="198"/>
      <c r="DQR30" s="1"/>
      <c r="DQS30" s="195">
        <v>28</v>
      </c>
      <c r="DQT30" s="376" t="s">
        <v>984</v>
      </c>
      <c r="DRF30" s="197" t="s">
        <v>110</v>
      </c>
      <c r="DRG30" s="198"/>
      <c r="DRH30" s="1"/>
      <c r="DRI30" s="195">
        <v>28</v>
      </c>
      <c r="DRJ30" s="376" t="s">
        <v>984</v>
      </c>
      <c r="DRV30" s="197" t="s">
        <v>110</v>
      </c>
      <c r="DRW30" s="198"/>
      <c r="DRX30" s="1"/>
      <c r="DRY30" s="195">
        <v>28</v>
      </c>
      <c r="DRZ30" s="376" t="s">
        <v>984</v>
      </c>
      <c r="DSL30" s="197" t="s">
        <v>110</v>
      </c>
      <c r="DSM30" s="198"/>
      <c r="DSN30" s="1"/>
      <c r="DSO30" s="195">
        <v>28</v>
      </c>
      <c r="DSP30" s="376" t="s">
        <v>984</v>
      </c>
      <c r="DTB30" s="197" t="s">
        <v>110</v>
      </c>
      <c r="DTC30" s="198"/>
      <c r="DTD30" s="1"/>
      <c r="DTE30" s="195">
        <v>28</v>
      </c>
      <c r="DTF30" s="376" t="s">
        <v>984</v>
      </c>
      <c r="DTR30" s="197" t="s">
        <v>110</v>
      </c>
      <c r="DTS30" s="198"/>
      <c r="DTT30" s="1"/>
      <c r="DTU30" s="195">
        <v>28</v>
      </c>
      <c r="DTV30" s="376" t="s">
        <v>984</v>
      </c>
      <c r="DUH30" s="197" t="s">
        <v>110</v>
      </c>
      <c r="DUI30" s="198"/>
      <c r="DUJ30" s="1"/>
      <c r="DUK30" s="195">
        <v>28</v>
      </c>
      <c r="DUL30" s="376" t="s">
        <v>984</v>
      </c>
      <c r="DUX30" s="197" t="s">
        <v>110</v>
      </c>
      <c r="DUY30" s="198"/>
      <c r="DUZ30" s="1"/>
      <c r="DVA30" s="195">
        <v>28</v>
      </c>
      <c r="DVB30" s="376" t="s">
        <v>984</v>
      </c>
      <c r="DVN30" s="197" t="s">
        <v>110</v>
      </c>
      <c r="DVO30" s="198"/>
      <c r="DVP30" s="1"/>
      <c r="DVQ30" s="195">
        <v>28</v>
      </c>
      <c r="DVR30" s="376" t="s">
        <v>984</v>
      </c>
      <c r="DWD30" s="197" t="s">
        <v>110</v>
      </c>
      <c r="DWE30" s="198"/>
      <c r="DWF30" s="1"/>
      <c r="DWG30" s="195">
        <v>28</v>
      </c>
      <c r="DWH30" s="376" t="s">
        <v>984</v>
      </c>
      <c r="DWT30" s="197" t="s">
        <v>110</v>
      </c>
      <c r="DWU30" s="198"/>
      <c r="DWV30" s="1"/>
      <c r="DWW30" s="195">
        <v>28</v>
      </c>
      <c r="DWX30" s="376" t="s">
        <v>984</v>
      </c>
      <c r="DXJ30" s="197" t="s">
        <v>110</v>
      </c>
      <c r="DXK30" s="198"/>
      <c r="DXL30" s="1"/>
      <c r="DXM30" s="195">
        <v>28</v>
      </c>
      <c r="DXN30" s="376" t="s">
        <v>984</v>
      </c>
      <c r="DXZ30" s="197" t="s">
        <v>110</v>
      </c>
      <c r="DYA30" s="198"/>
      <c r="DYB30" s="1"/>
      <c r="DYC30" s="195">
        <v>28</v>
      </c>
      <c r="DYD30" s="376" t="s">
        <v>984</v>
      </c>
      <c r="DYP30" s="197" t="s">
        <v>110</v>
      </c>
      <c r="DYQ30" s="198"/>
      <c r="DYR30" s="1"/>
      <c r="DYS30" s="195">
        <v>28</v>
      </c>
      <c r="DYT30" s="376" t="s">
        <v>984</v>
      </c>
      <c r="DZF30" s="197" t="s">
        <v>110</v>
      </c>
      <c r="DZG30" s="198"/>
      <c r="DZH30" s="1"/>
      <c r="DZI30" s="195">
        <v>28</v>
      </c>
      <c r="DZJ30" s="376" t="s">
        <v>984</v>
      </c>
      <c r="DZV30" s="197" t="s">
        <v>110</v>
      </c>
      <c r="DZW30" s="198"/>
      <c r="DZX30" s="1"/>
      <c r="DZY30" s="195">
        <v>28</v>
      </c>
      <c r="DZZ30" s="376" t="s">
        <v>984</v>
      </c>
      <c r="EAL30" s="197" t="s">
        <v>110</v>
      </c>
      <c r="EAM30" s="198"/>
      <c r="EAN30" s="1"/>
      <c r="EAO30" s="195">
        <v>28</v>
      </c>
      <c r="EAP30" s="376" t="s">
        <v>984</v>
      </c>
      <c r="EBB30" s="197" t="s">
        <v>110</v>
      </c>
      <c r="EBC30" s="198"/>
      <c r="EBD30" s="1"/>
      <c r="EBE30" s="195">
        <v>28</v>
      </c>
      <c r="EBF30" s="376" t="s">
        <v>984</v>
      </c>
      <c r="EBR30" s="197" t="s">
        <v>110</v>
      </c>
      <c r="EBS30" s="198"/>
      <c r="EBT30" s="1"/>
      <c r="EBU30" s="195">
        <v>28</v>
      </c>
      <c r="EBV30" s="376" t="s">
        <v>984</v>
      </c>
      <c r="ECH30" s="197" t="s">
        <v>110</v>
      </c>
      <c r="ECI30" s="198"/>
      <c r="ECJ30" s="1"/>
      <c r="ECK30" s="195">
        <v>28</v>
      </c>
      <c r="ECL30" s="376" t="s">
        <v>984</v>
      </c>
      <c r="ECX30" s="197" t="s">
        <v>110</v>
      </c>
      <c r="ECY30" s="198"/>
      <c r="ECZ30" s="1"/>
      <c r="EDA30" s="195">
        <v>28</v>
      </c>
      <c r="EDB30" s="376" t="s">
        <v>984</v>
      </c>
      <c r="EDN30" s="197" t="s">
        <v>110</v>
      </c>
      <c r="EDO30" s="198"/>
      <c r="EDP30" s="1"/>
      <c r="EDQ30" s="195">
        <v>28</v>
      </c>
      <c r="EDR30" s="376" t="s">
        <v>984</v>
      </c>
      <c r="EED30" s="197" t="s">
        <v>110</v>
      </c>
      <c r="EEE30" s="198"/>
      <c r="EEF30" s="1"/>
      <c r="EEG30" s="195">
        <v>28</v>
      </c>
      <c r="EEH30" s="376" t="s">
        <v>984</v>
      </c>
      <c r="EET30" s="197" t="s">
        <v>110</v>
      </c>
      <c r="EEU30" s="198"/>
      <c r="EEV30" s="1"/>
      <c r="EEW30" s="195">
        <v>28</v>
      </c>
      <c r="EEX30" s="376" t="s">
        <v>984</v>
      </c>
      <c r="EFJ30" s="197" t="s">
        <v>110</v>
      </c>
      <c r="EFK30" s="198"/>
      <c r="EFL30" s="1"/>
      <c r="EFM30" s="195">
        <v>28</v>
      </c>
      <c r="EFN30" s="376" t="s">
        <v>984</v>
      </c>
      <c r="EFZ30" s="197" t="s">
        <v>110</v>
      </c>
      <c r="EGA30" s="198"/>
      <c r="EGB30" s="1"/>
      <c r="EGC30" s="195">
        <v>28</v>
      </c>
      <c r="EGD30" s="376" t="s">
        <v>984</v>
      </c>
      <c r="EGP30" s="197" t="s">
        <v>110</v>
      </c>
      <c r="EGQ30" s="198"/>
      <c r="EGR30" s="1"/>
      <c r="EGS30" s="195">
        <v>28</v>
      </c>
      <c r="EGT30" s="376" t="s">
        <v>984</v>
      </c>
      <c r="EHF30" s="197" t="s">
        <v>110</v>
      </c>
      <c r="EHG30" s="198"/>
      <c r="EHH30" s="1"/>
      <c r="EHI30" s="195">
        <v>28</v>
      </c>
      <c r="EHJ30" s="376" t="s">
        <v>984</v>
      </c>
      <c r="EHV30" s="197" t="s">
        <v>110</v>
      </c>
      <c r="EHW30" s="198"/>
      <c r="EHX30" s="1"/>
      <c r="EHY30" s="195">
        <v>28</v>
      </c>
      <c r="EHZ30" s="376" t="s">
        <v>984</v>
      </c>
      <c r="EIL30" s="197" t="s">
        <v>110</v>
      </c>
      <c r="EIM30" s="198"/>
      <c r="EIN30" s="1"/>
      <c r="EIO30" s="195">
        <v>28</v>
      </c>
      <c r="EIP30" s="376" t="s">
        <v>984</v>
      </c>
      <c r="EJB30" s="197" t="s">
        <v>110</v>
      </c>
      <c r="EJC30" s="198"/>
      <c r="EJD30" s="1"/>
      <c r="EJE30" s="195">
        <v>28</v>
      </c>
      <c r="EJF30" s="376" t="s">
        <v>984</v>
      </c>
      <c r="EJR30" s="197" t="s">
        <v>110</v>
      </c>
      <c r="EJS30" s="198"/>
      <c r="EJT30" s="1"/>
      <c r="EJU30" s="195">
        <v>28</v>
      </c>
      <c r="EJV30" s="376" t="s">
        <v>984</v>
      </c>
      <c r="EKH30" s="197" t="s">
        <v>110</v>
      </c>
      <c r="EKI30" s="198"/>
      <c r="EKJ30" s="1"/>
      <c r="EKK30" s="195">
        <v>28</v>
      </c>
      <c r="EKL30" s="376" t="s">
        <v>984</v>
      </c>
      <c r="EKX30" s="197" t="s">
        <v>110</v>
      </c>
      <c r="EKY30" s="198"/>
      <c r="EKZ30" s="1"/>
      <c r="ELA30" s="195">
        <v>28</v>
      </c>
      <c r="ELB30" s="376" t="s">
        <v>984</v>
      </c>
      <c r="ELN30" s="197" t="s">
        <v>110</v>
      </c>
      <c r="ELO30" s="198"/>
      <c r="ELP30" s="1"/>
      <c r="ELQ30" s="195">
        <v>28</v>
      </c>
      <c r="ELR30" s="376" t="s">
        <v>984</v>
      </c>
      <c r="EMD30" s="197" t="s">
        <v>110</v>
      </c>
      <c r="EME30" s="198"/>
      <c r="EMF30" s="1"/>
      <c r="EMG30" s="195">
        <v>28</v>
      </c>
      <c r="EMH30" s="376" t="s">
        <v>984</v>
      </c>
      <c r="EMT30" s="197" t="s">
        <v>110</v>
      </c>
      <c r="EMU30" s="198"/>
      <c r="EMV30" s="1"/>
      <c r="EMW30" s="195">
        <v>28</v>
      </c>
      <c r="EMX30" s="376" t="s">
        <v>984</v>
      </c>
      <c r="ENJ30" s="197" t="s">
        <v>110</v>
      </c>
      <c r="ENK30" s="198"/>
      <c r="ENL30" s="1"/>
      <c r="ENM30" s="195">
        <v>28</v>
      </c>
      <c r="ENN30" s="376" t="s">
        <v>984</v>
      </c>
      <c r="ENZ30" s="197" t="s">
        <v>110</v>
      </c>
      <c r="EOA30" s="198"/>
      <c r="EOB30" s="1"/>
      <c r="EOC30" s="195">
        <v>28</v>
      </c>
      <c r="EOD30" s="376" t="s">
        <v>984</v>
      </c>
      <c r="EOP30" s="197" t="s">
        <v>110</v>
      </c>
      <c r="EOQ30" s="198"/>
      <c r="EOR30" s="1"/>
      <c r="EOS30" s="195">
        <v>28</v>
      </c>
      <c r="EOT30" s="376" t="s">
        <v>984</v>
      </c>
      <c r="EPF30" s="197" t="s">
        <v>110</v>
      </c>
      <c r="EPG30" s="198"/>
      <c r="EPH30" s="1"/>
      <c r="EPI30" s="195">
        <v>28</v>
      </c>
      <c r="EPJ30" s="376" t="s">
        <v>984</v>
      </c>
      <c r="EPV30" s="197" t="s">
        <v>110</v>
      </c>
      <c r="EPW30" s="198"/>
      <c r="EPX30" s="1"/>
      <c r="EPY30" s="195">
        <v>28</v>
      </c>
      <c r="EPZ30" s="376" t="s">
        <v>984</v>
      </c>
      <c r="EQL30" s="197" t="s">
        <v>110</v>
      </c>
      <c r="EQM30" s="198"/>
      <c r="EQN30" s="1"/>
      <c r="EQO30" s="195">
        <v>28</v>
      </c>
      <c r="EQP30" s="376" t="s">
        <v>984</v>
      </c>
      <c r="ERB30" s="197" t="s">
        <v>110</v>
      </c>
      <c r="ERC30" s="198"/>
      <c r="ERD30" s="1"/>
      <c r="ERE30" s="195">
        <v>28</v>
      </c>
      <c r="ERF30" s="376" t="s">
        <v>984</v>
      </c>
      <c r="ERR30" s="197" t="s">
        <v>110</v>
      </c>
      <c r="ERS30" s="198"/>
      <c r="ERT30" s="1"/>
      <c r="ERU30" s="195">
        <v>28</v>
      </c>
      <c r="ERV30" s="376" t="s">
        <v>984</v>
      </c>
      <c r="ESH30" s="197" t="s">
        <v>110</v>
      </c>
      <c r="ESI30" s="198"/>
      <c r="ESJ30" s="1"/>
      <c r="ESK30" s="195">
        <v>28</v>
      </c>
      <c r="ESL30" s="376" t="s">
        <v>984</v>
      </c>
      <c r="ESX30" s="197" t="s">
        <v>110</v>
      </c>
      <c r="ESY30" s="198"/>
      <c r="ESZ30" s="1"/>
      <c r="ETA30" s="195">
        <v>28</v>
      </c>
      <c r="ETB30" s="376" t="s">
        <v>984</v>
      </c>
      <c r="ETN30" s="197" t="s">
        <v>110</v>
      </c>
      <c r="ETO30" s="198"/>
      <c r="ETP30" s="1"/>
      <c r="ETQ30" s="195">
        <v>28</v>
      </c>
      <c r="ETR30" s="376" t="s">
        <v>984</v>
      </c>
      <c r="EUD30" s="197" t="s">
        <v>110</v>
      </c>
      <c r="EUE30" s="198"/>
      <c r="EUF30" s="1"/>
      <c r="EUG30" s="195">
        <v>28</v>
      </c>
      <c r="EUH30" s="376" t="s">
        <v>984</v>
      </c>
      <c r="EUT30" s="197" t="s">
        <v>110</v>
      </c>
      <c r="EUU30" s="198"/>
      <c r="EUV30" s="1"/>
      <c r="EUW30" s="195">
        <v>28</v>
      </c>
      <c r="EUX30" s="376" t="s">
        <v>984</v>
      </c>
      <c r="EVJ30" s="197" t="s">
        <v>110</v>
      </c>
      <c r="EVK30" s="198"/>
      <c r="EVL30" s="1"/>
      <c r="EVM30" s="195">
        <v>28</v>
      </c>
      <c r="EVN30" s="376" t="s">
        <v>984</v>
      </c>
      <c r="EVZ30" s="197" t="s">
        <v>110</v>
      </c>
      <c r="EWA30" s="198"/>
      <c r="EWB30" s="1"/>
      <c r="EWC30" s="195">
        <v>28</v>
      </c>
      <c r="EWD30" s="376" t="s">
        <v>984</v>
      </c>
      <c r="EWP30" s="197" t="s">
        <v>110</v>
      </c>
      <c r="EWQ30" s="198"/>
      <c r="EWR30" s="1"/>
      <c r="EWS30" s="195">
        <v>28</v>
      </c>
      <c r="EWT30" s="376" t="s">
        <v>984</v>
      </c>
      <c r="EXF30" s="197" t="s">
        <v>110</v>
      </c>
      <c r="EXG30" s="198"/>
      <c r="EXH30" s="1"/>
      <c r="EXI30" s="195">
        <v>28</v>
      </c>
      <c r="EXJ30" s="376" t="s">
        <v>984</v>
      </c>
      <c r="EXV30" s="197" t="s">
        <v>110</v>
      </c>
      <c r="EXW30" s="198"/>
      <c r="EXX30" s="1"/>
      <c r="EXY30" s="195">
        <v>28</v>
      </c>
      <c r="EXZ30" s="376" t="s">
        <v>984</v>
      </c>
      <c r="EYL30" s="197" t="s">
        <v>110</v>
      </c>
      <c r="EYM30" s="198"/>
      <c r="EYN30" s="1"/>
      <c r="EYO30" s="195">
        <v>28</v>
      </c>
      <c r="EYP30" s="376" t="s">
        <v>984</v>
      </c>
      <c r="EZB30" s="197" t="s">
        <v>110</v>
      </c>
      <c r="EZC30" s="198"/>
      <c r="EZD30" s="1"/>
      <c r="EZE30" s="195">
        <v>28</v>
      </c>
      <c r="EZF30" s="376" t="s">
        <v>984</v>
      </c>
      <c r="EZR30" s="197" t="s">
        <v>110</v>
      </c>
      <c r="EZS30" s="198"/>
      <c r="EZT30" s="1"/>
      <c r="EZU30" s="195">
        <v>28</v>
      </c>
      <c r="EZV30" s="376" t="s">
        <v>984</v>
      </c>
      <c r="FAH30" s="197" t="s">
        <v>110</v>
      </c>
      <c r="FAI30" s="198"/>
      <c r="FAJ30" s="1"/>
      <c r="FAK30" s="195">
        <v>28</v>
      </c>
      <c r="FAL30" s="376" t="s">
        <v>984</v>
      </c>
      <c r="FAX30" s="197" t="s">
        <v>110</v>
      </c>
      <c r="FAY30" s="198"/>
      <c r="FAZ30" s="1"/>
      <c r="FBA30" s="195">
        <v>28</v>
      </c>
      <c r="FBB30" s="376" t="s">
        <v>984</v>
      </c>
      <c r="FBN30" s="197" t="s">
        <v>110</v>
      </c>
      <c r="FBO30" s="198"/>
      <c r="FBP30" s="1"/>
      <c r="FBQ30" s="195">
        <v>28</v>
      </c>
      <c r="FBR30" s="376" t="s">
        <v>984</v>
      </c>
      <c r="FCD30" s="197" t="s">
        <v>110</v>
      </c>
      <c r="FCE30" s="198"/>
      <c r="FCF30" s="1"/>
      <c r="FCG30" s="195">
        <v>28</v>
      </c>
      <c r="FCH30" s="376" t="s">
        <v>984</v>
      </c>
      <c r="FCT30" s="197" t="s">
        <v>110</v>
      </c>
      <c r="FCU30" s="198"/>
      <c r="FCV30" s="1"/>
      <c r="FCW30" s="195">
        <v>28</v>
      </c>
      <c r="FCX30" s="376" t="s">
        <v>984</v>
      </c>
      <c r="FDJ30" s="197" t="s">
        <v>110</v>
      </c>
      <c r="FDK30" s="198"/>
      <c r="FDL30" s="1"/>
      <c r="FDM30" s="195">
        <v>28</v>
      </c>
      <c r="FDN30" s="376" t="s">
        <v>984</v>
      </c>
      <c r="FDZ30" s="197" t="s">
        <v>110</v>
      </c>
      <c r="FEA30" s="198"/>
      <c r="FEB30" s="1"/>
      <c r="FEC30" s="195">
        <v>28</v>
      </c>
      <c r="FED30" s="376" t="s">
        <v>984</v>
      </c>
      <c r="FEP30" s="197" t="s">
        <v>110</v>
      </c>
      <c r="FEQ30" s="198"/>
      <c r="FER30" s="1"/>
      <c r="FES30" s="195">
        <v>28</v>
      </c>
      <c r="FET30" s="376" t="s">
        <v>984</v>
      </c>
      <c r="FFF30" s="197" t="s">
        <v>110</v>
      </c>
      <c r="FFG30" s="198"/>
      <c r="FFH30" s="1"/>
      <c r="FFI30" s="195">
        <v>28</v>
      </c>
      <c r="FFJ30" s="376" t="s">
        <v>984</v>
      </c>
      <c r="FFV30" s="197" t="s">
        <v>110</v>
      </c>
      <c r="FFW30" s="198"/>
      <c r="FFX30" s="1"/>
      <c r="FFY30" s="195">
        <v>28</v>
      </c>
      <c r="FFZ30" s="376" t="s">
        <v>984</v>
      </c>
      <c r="FGL30" s="197" t="s">
        <v>110</v>
      </c>
      <c r="FGM30" s="198"/>
      <c r="FGN30" s="1"/>
      <c r="FGO30" s="195">
        <v>28</v>
      </c>
      <c r="FGP30" s="376" t="s">
        <v>984</v>
      </c>
      <c r="FHB30" s="197" t="s">
        <v>110</v>
      </c>
      <c r="FHC30" s="198"/>
      <c r="FHD30" s="1"/>
      <c r="FHE30" s="195">
        <v>28</v>
      </c>
      <c r="FHF30" s="376" t="s">
        <v>984</v>
      </c>
      <c r="FHR30" s="197" t="s">
        <v>110</v>
      </c>
      <c r="FHS30" s="198"/>
      <c r="FHT30" s="1"/>
      <c r="FHU30" s="195">
        <v>28</v>
      </c>
      <c r="FHV30" s="376" t="s">
        <v>984</v>
      </c>
      <c r="FIH30" s="197" t="s">
        <v>110</v>
      </c>
      <c r="FII30" s="198"/>
      <c r="FIJ30" s="1"/>
      <c r="FIK30" s="195">
        <v>28</v>
      </c>
      <c r="FIL30" s="376" t="s">
        <v>984</v>
      </c>
      <c r="FIX30" s="197" t="s">
        <v>110</v>
      </c>
      <c r="FIY30" s="198"/>
      <c r="FIZ30" s="1"/>
      <c r="FJA30" s="195">
        <v>28</v>
      </c>
      <c r="FJB30" s="376" t="s">
        <v>984</v>
      </c>
      <c r="FJN30" s="197" t="s">
        <v>110</v>
      </c>
      <c r="FJO30" s="198"/>
      <c r="FJP30" s="1"/>
      <c r="FJQ30" s="195">
        <v>28</v>
      </c>
      <c r="FJR30" s="376" t="s">
        <v>984</v>
      </c>
      <c r="FKD30" s="197" t="s">
        <v>110</v>
      </c>
      <c r="FKE30" s="198"/>
      <c r="FKF30" s="1"/>
      <c r="FKG30" s="195">
        <v>28</v>
      </c>
      <c r="FKH30" s="376" t="s">
        <v>984</v>
      </c>
      <c r="FKT30" s="197" t="s">
        <v>110</v>
      </c>
      <c r="FKU30" s="198"/>
      <c r="FKV30" s="1"/>
      <c r="FKW30" s="195">
        <v>28</v>
      </c>
      <c r="FKX30" s="376" t="s">
        <v>984</v>
      </c>
      <c r="FLJ30" s="197" t="s">
        <v>110</v>
      </c>
      <c r="FLK30" s="198"/>
      <c r="FLL30" s="1"/>
      <c r="FLM30" s="195">
        <v>28</v>
      </c>
      <c r="FLN30" s="376" t="s">
        <v>984</v>
      </c>
      <c r="FLZ30" s="197" t="s">
        <v>110</v>
      </c>
      <c r="FMA30" s="198"/>
      <c r="FMB30" s="1"/>
      <c r="FMC30" s="195">
        <v>28</v>
      </c>
      <c r="FMD30" s="376" t="s">
        <v>984</v>
      </c>
      <c r="FMP30" s="197" t="s">
        <v>110</v>
      </c>
      <c r="FMQ30" s="198"/>
      <c r="FMR30" s="1"/>
      <c r="FMS30" s="195">
        <v>28</v>
      </c>
      <c r="FMT30" s="376" t="s">
        <v>984</v>
      </c>
      <c r="FNF30" s="197" t="s">
        <v>110</v>
      </c>
      <c r="FNG30" s="198"/>
      <c r="FNH30" s="1"/>
      <c r="FNI30" s="195">
        <v>28</v>
      </c>
      <c r="FNJ30" s="376" t="s">
        <v>984</v>
      </c>
      <c r="FNV30" s="197" t="s">
        <v>110</v>
      </c>
      <c r="FNW30" s="198"/>
      <c r="FNX30" s="1"/>
      <c r="FNY30" s="195">
        <v>28</v>
      </c>
      <c r="FNZ30" s="376" t="s">
        <v>984</v>
      </c>
      <c r="FOL30" s="197" t="s">
        <v>110</v>
      </c>
      <c r="FOM30" s="198"/>
      <c r="FON30" s="1"/>
      <c r="FOO30" s="195">
        <v>28</v>
      </c>
      <c r="FOP30" s="376" t="s">
        <v>984</v>
      </c>
      <c r="FPB30" s="197" t="s">
        <v>110</v>
      </c>
      <c r="FPC30" s="198"/>
      <c r="FPD30" s="1"/>
      <c r="FPE30" s="195">
        <v>28</v>
      </c>
      <c r="FPF30" s="376" t="s">
        <v>984</v>
      </c>
      <c r="FPR30" s="197" t="s">
        <v>110</v>
      </c>
      <c r="FPS30" s="198"/>
      <c r="FPT30" s="1"/>
      <c r="FPU30" s="195">
        <v>28</v>
      </c>
      <c r="FPV30" s="376" t="s">
        <v>984</v>
      </c>
      <c r="FQH30" s="197" t="s">
        <v>110</v>
      </c>
      <c r="FQI30" s="198"/>
      <c r="FQJ30" s="1"/>
      <c r="FQK30" s="195">
        <v>28</v>
      </c>
      <c r="FQL30" s="376" t="s">
        <v>984</v>
      </c>
      <c r="FQX30" s="197" t="s">
        <v>110</v>
      </c>
      <c r="FQY30" s="198"/>
      <c r="FQZ30" s="1"/>
      <c r="FRA30" s="195">
        <v>28</v>
      </c>
      <c r="FRB30" s="376" t="s">
        <v>984</v>
      </c>
      <c r="FRN30" s="197" t="s">
        <v>110</v>
      </c>
      <c r="FRO30" s="198"/>
      <c r="FRP30" s="1"/>
      <c r="FRQ30" s="195">
        <v>28</v>
      </c>
      <c r="FRR30" s="376" t="s">
        <v>984</v>
      </c>
      <c r="FSD30" s="197" t="s">
        <v>110</v>
      </c>
      <c r="FSE30" s="198"/>
      <c r="FSF30" s="1"/>
      <c r="FSG30" s="195">
        <v>28</v>
      </c>
      <c r="FSH30" s="376" t="s">
        <v>984</v>
      </c>
      <c r="FST30" s="197" t="s">
        <v>110</v>
      </c>
      <c r="FSU30" s="198"/>
      <c r="FSV30" s="1"/>
      <c r="FSW30" s="195">
        <v>28</v>
      </c>
      <c r="FSX30" s="376" t="s">
        <v>984</v>
      </c>
      <c r="FTJ30" s="197" t="s">
        <v>110</v>
      </c>
      <c r="FTK30" s="198"/>
      <c r="FTL30" s="1"/>
      <c r="FTM30" s="195">
        <v>28</v>
      </c>
      <c r="FTN30" s="376" t="s">
        <v>984</v>
      </c>
      <c r="FTZ30" s="197" t="s">
        <v>110</v>
      </c>
      <c r="FUA30" s="198"/>
      <c r="FUB30" s="1"/>
      <c r="FUC30" s="195">
        <v>28</v>
      </c>
      <c r="FUD30" s="376" t="s">
        <v>984</v>
      </c>
      <c r="FUP30" s="197" t="s">
        <v>110</v>
      </c>
      <c r="FUQ30" s="198"/>
      <c r="FUR30" s="1"/>
      <c r="FUS30" s="195">
        <v>28</v>
      </c>
      <c r="FUT30" s="376" t="s">
        <v>984</v>
      </c>
      <c r="FVF30" s="197" t="s">
        <v>110</v>
      </c>
      <c r="FVG30" s="198"/>
      <c r="FVH30" s="1"/>
      <c r="FVI30" s="195">
        <v>28</v>
      </c>
      <c r="FVJ30" s="376" t="s">
        <v>984</v>
      </c>
      <c r="FVV30" s="197" t="s">
        <v>110</v>
      </c>
      <c r="FVW30" s="198"/>
      <c r="FVX30" s="1"/>
      <c r="FVY30" s="195">
        <v>28</v>
      </c>
      <c r="FVZ30" s="376" t="s">
        <v>984</v>
      </c>
      <c r="FWL30" s="197" t="s">
        <v>110</v>
      </c>
      <c r="FWM30" s="198"/>
      <c r="FWN30" s="1"/>
      <c r="FWO30" s="195">
        <v>28</v>
      </c>
      <c r="FWP30" s="376" t="s">
        <v>984</v>
      </c>
      <c r="FXB30" s="197" t="s">
        <v>110</v>
      </c>
      <c r="FXC30" s="198"/>
      <c r="FXD30" s="1"/>
      <c r="FXE30" s="195">
        <v>28</v>
      </c>
      <c r="FXF30" s="376" t="s">
        <v>984</v>
      </c>
      <c r="FXR30" s="197" t="s">
        <v>110</v>
      </c>
      <c r="FXS30" s="198"/>
      <c r="FXT30" s="1"/>
      <c r="FXU30" s="195">
        <v>28</v>
      </c>
      <c r="FXV30" s="376" t="s">
        <v>984</v>
      </c>
      <c r="FYH30" s="197" t="s">
        <v>110</v>
      </c>
      <c r="FYI30" s="198"/>
      <c r="FYJ30" s="1"/>
      <c r="FYK30" s="195">
        <v>28</v>
      </c>
      <c r="FYL30" s="376" t="s">
        <v>984</v>
      </c>
      <c r="FYX30" s="197" t="s">
        <v>110</v>
      </c>
      <c r="FYY30" s="198"/>
      <c r="FYZ30" s="1"/>
      <c r="FZA30" s="195">
        <v>28</v>
      </c>
      <c r="FZB30" s="376" t="s">
        <v>984</v>
      </c>
      <c r="FZN30" s="197" t="s">
        <v>110</v>
      </c>
      <c r="FZO30" s="198"/>
      <c r="FZP30" s="1"/>
      <c r="FZQ30" s="195">
        <v>28</v>
      </c>
      <c r="FZR30" s="376" t="s">
        <v>984</v>
      </c>
      <c r="GAD30" s="197" t="s">
        <v>110</v>
      </c>
      <c r="GAE30" s="198"/>
      <c r="GAF30" s="1"/>
      <c r="GAG30" s="195">
        <v>28</v>
      </c>
      <c r="GAH30" s="376" t="s">
        <v>984</v>
      </c>
      <c r="GAT30" s="197" t="s">
        <v>110</v>
      </c>
      <c r="GAU30" s="198"/>
      <c r="GAV30" s="1"/>
      <c r="GAW30" s="195">
        <v>28</v>
      </c>
      <c r="GAX30" s="376" t="s">
        <v>984</v>
      </c>
      <c r="GBJ30" s="197" t="s">
        <v>110</v>
      </c>
      <c r="GBK30" s="198"/>
      <c r="GBL30" s="1"/>
      <c r="GBM30" s="195">
        <v>28</v>
      </c>
      <c r="GBN30" s="376" t="s">
        <v>984</v>
      </c>
      <c r="GBZ30" s="197" t="s">
        <v>110</v>
      </c>
      <c r="GCA30" s="198"/>
      <c r="GCB30" s="1"/>
      <c r="GCC30" s="195">
        <v>28</v>
      </c>
      <c r="GCD30" s="376" t="s">
        <v>984</v>
      </c>
      <c r="GCP30" s="197" t="s">
        <v>110</v>
      </c>
      <c r="GCQ30" s="198"/>
      <c r="GCR30" s="1"/>
      <c r="GCS30" s="195">
        <v>28</v>
      </c>
      <c r="GCT30" s="376" t="s">
        <v>984</v>
      </c>
      <c r="GDF30" s="197" t="s">
        <v>110</v>
      </c>
      <c r="GDG30" s="198"/>
      <c r="GDH30" s="1"/>
      <c r="GDI30" s="195">
        <v>28</v>
      </c>
      <c r="GDJ30" s="376" t="s">
        <v>984</v>
      </c>
      <c r="GDV30" s="197" t="s">
        <v>110</v>
      </c>
      <c r="GDW30" s="198"/>
      <c r="GDX30" s="1"/>
      <c r="GDY30" s="195">
        <v>28</v>
      </c>
      <c r="GDZ30" s="376" t="s">
        <v>984</v>
      </c>
      <c r="GEL30" s="197" t="s">
        <v>110</v>
      </c>
      <c r="GEM30" s="198"/>
      <c r="GEN30" s="1"/>
      <c r="GEO30" s="195">
        <v>28</v>
      </c>
      <c r="GEP30" s="376" t="s">
        <v>984</v>
      </c>
      <c r="GFB30" s="197" t="s">
        <v>110</v>
      </c>
      <c r="GFC30" s="198"/>
      <c r="GFD30" s="1"/>
      <c r="GFE30" s="195">
        <v>28</v>
      </c>
      <c r="GFF30" s="376" t="s">
        <v>984</v>
      </c>
      <c r="GFR30" s="197" t="s">
        <v>110</v>
      </c>
      <c r="GFS30" s="198"/>
      <c r="GFT30" s="1"/>
      <c r="GFU30" s="195">
        <v>28</v>
      </c>
      <c r="GFV30" s="376" t="s">
        <v>984</v>
      </c>
      <c r="GGH30" s="197" t="s">
        <v>110</v>
      </c>
      <c r="GGI30" s="198"/>
      <c r="GGJ30" s="1"/>
      <c r="GGK30" s="195">
        <v>28</v>
      </c>
      <c r="GGL30" s="376" t="s">
        <v>984</v>
      </c>
      <c r="GGX30" s="197" t="s">
        <v>110</v>
      </c>
      <c r="GGY30" s="198"/>
      <c r="GGZ30" s="1"/>
      <c r="GHA30" s="195">
        <v>28</v>
      </c>
      <c r="GHB30" s="376" t="s">
        <v>984</v>
      </c>
      <c r="GHN30" s="197" t="s">
        <v>110</v>
      </c>
      <c r="GHO30" s="198"/>
      <c r="GHP30" s="1"/>
      <c r="GHQ30" s="195">
        <v>28</v>
      </c>
      <c r="GHR30" s="376" t="s">
        <v>984</v>
      </c>
      <c r="GID30" s="197" t="s">
        <v>110</v>
      </c>
      <c r="GIE30" s="198"/>
      <c r="GIF30" s="1"/>
      <c r="GIG30" s="195">
        <v>28</v>
      </c>
      <c r="GIH30" s="376" t="s">
        <v>984</v>
      </c>
      <c r="GIT30" s="197" t="s">
        <v>110</v>
      </c>
      <c r="GIU30" s="198"/>
      <c r="GIV30" s="1"/>
      <c r="GIW30" s="195">
        <v>28</v>
      </c>
      <c r="GIX30" s="376" t="s">
        <v>984</v>
      </c>
      <c r="GJJ30" s="197" t="s">
        <v>110</v>
      </c>
      <c r="GJK30" s="198"/>
      <c r="GJL30" s="1"/>
      <c r="GJM30" s="195">
        <v>28</v>
      </c>
      <c r="GJN30" s="376" t="s">
        <v>984</v>
      </c>
      <c r="GJZ30" s="197" t="s">
        <v>110</v>
      </c>
      <c r="GKA30" s="198"/>
      <c r="GKB30" s="1"/>
      <c r="GKC30" s="195">
        <v>28</v>
      </c>
      <c r="GKD30" s="376" t="s">
        <v>984</v>
      </c>
      <c r="GKP30" s="197" t="s">
        <v>110</v>
      </c>
      <c r="GKQ30" s="198"/>
      <c r="GKR30" s="1"/>
      <c r="GKS30" s="195">
        <v>28</v>
      </c>
      <c r="GKT30" s="376" t="s">
        <v>984</v>
      </c>
      <c r="GLF30" s="197" t="s">
        <v>110</v>
      </c>
      <c r="GLG30" s="198"/>
      <c r="GLH30" s="1"/>
      <c r="GLI30" s="195">
        <v>28</v>
      </c>
      <c r="GLJ30" s="376" t="s">
        <v>984</v>
      </c>
      <c r="GLV30" s="197" t="s">
        <v>110</v>
      </c>
      <c r="GLW30" s="198"/>
      <c r="GLX30" s="1"/>
      <c r="GLY30" s="195">
        <v>28</v>
      </c>
      <c r="GLZ30" s="376" t="s">
        <v>984</v>
      </c>
      <c r="GML30" s="197" t="s">
        <v>110</v>
      </c>
      <c r="GMM30" s="198"/>
      <c r="GMN30" s="1"/>
      <c r="GMO30" s="195">
        <v>28</v>
      </c>
      <c r="GMP30" s="376" t="s">
        <v>984</v>
      </c>
      <c r="GNB30" s="197" t="s">
        <v>110</v>
      </c>
      <c r="GNC30" s="198"/>
      <c r="GND30" s="1"/>
      <c r="GNE30" s="195">
        <v>28</v>
      </c>
      <c r="GNF30" s="376" t="s">
        <v>984</v>
      </c>
      <c r="GNR30" s="197" t="s">
        <v>110</v>
      </c>
      <c r="GNS30" s="198"/>
      <c r="GNT30" s="1"/>
      <c r="GNU30" s="195">
        <v>28</v>
      </c>
      <c r="GNV30" s="376" t="s">
        <v>984</v>
      </c>
      <c r="GOH30" s="197" t="s">
        <v>110</v>
      </c>
      <c r="GOI30" s="198"/>
      <c r="GOJ30" s="1"/>
      <c r="GOK30" s="195">
        <v>28</v>
      </c>
      <c r="GOL30" s="376" t="s">
        <v>984</v>
      </c>
      <c r="GOX30" s="197" t="s">
        <v>110</v>
      </c>
      <c r="GOY30" s="198"/>
      <c r="GOZ30" s="1"/>
      <c r="GPA30" s="195">
        <v>28</v>
      </c>
      <c r="GPB30" s="376" t="s">
        <v>984</v>
      </c>
      <c r="GPN30" s="197" t="s">
        <v>110</v>
      </c>
      <c r="GPO30" s="198"/>
      <c r="GPP30" s="1"/>
      <c r="GPQ30" s="195">
        <v>28</v>
      </c>
      <c r="GPR30" s="376" t="s">
        <v>984</v>
      </c>
      <c r="GQD30" s="197" t="s">
        <v>110</v>
      </c>
      <c r="GQE30" s="198"/>
      <c r="GQF30" s="1"/>
      <c r="GQG30" s="195">
        <v>28</v>
      </c>
      <c r="GQH30" s="376" t="s">
        <v>984</v>
      </c>
      <c r="GQT30" s="197" t="s">
        <v>110</v>
      </c>
      <c r="GQU30" s="198"/>
      <c r="GQV30" s="1"/>
      <c r="GQW30" s="195">
        <v>28</v>
      </c>
      <c r="GQX30" s="376" t="s">
        <v>984</v>
      </c>
      <c r="GRJ30" s="197" t="s">
        <v>110</v>
      </c>
      <c r="GRK30" s="198"/>
      <c r="GRL30" s="1"/>
      <c r="GRM30" s="195">
        <v>28</v>
      </c>
      <c r="GRN30" s="376" t="s">
        <v>984</v>
      </c>
      <c r="GRZ30" s="197" t="s">
        <v>110</v>
      </c>
      <c r="GSA30" s="198"/>
      <c r="GSB30" s="1"/>
      <c r="GSC30" s="195">
        <v>28</v>
      </c>
      <c r="GSD30" s="376" t="s">
        <v>984</v>
      </c>
      <c r="GSP30" s="197" t="s">
        <v>110</v>
      </c>
      <c r="GSQ30" s="198"/>
      <c r="GSR30" s="1"/>
      <c r="GSS30" s="195">
        <v>28</v>
      </c>
      <c r="GST30" s="376" t="s">
        <v>984</v>
      </c>
      <c r="GTF30" s="197" t="s">
        <v>110</v>
      </c>
      <c r="GTG30" s="198"/>
      <c r="GTH30" s="1"/>
      <c r="GTI30" s="195">
        <v>28</v>
      </c>
      <c r="GTJ30" s="376" t="s">
        <v>984</v>
      </c>
      <c r="GTV30" s="197" t="s">
        <v>110</v>
      </c>
      <c r="GTW30" s="198"/>
      <c r="GTX30" s="1"/>
      <c r="GTY30" s="195">
        <v>28</v>
      </c>
      <c r="GTZ30" s="376" t="s">
        <v>984</v>
      </c>
      <c r="GUL30" s="197" t="s">
        <v>110</v>
      </c>
      <c r="GUM30" s="198"/>
      <c r="GUN30" s="1"/>
      <c r="GUO30" s="195">
        <v>28</v>
      </c>
      <c r="GUP30" s="376" t="s">
        <v>984</v>
      </c>
      <c r="GVB30" s="197" t="s">
        <v>110</v>
      </c>
      <c r="GVC30" s="198"/>
      <c r="GVD30" s="1"/>
      <c r="GVE30" s="195">
        <v>28</v>
      </c>
      <c r="GVF30" s="376" t="s">
        <v>984</v>
      </c>
      <c r="GVR30" s="197" t="s">
        <v>110</v>
      </c>
      <c r="GVS30" s="198"/>
      <c r="GVT30" s="1"/>
      <c r="GVU30" s="195">
        <v>28</v>
      </c>
      <c r="GVV30" s="376" t="s">
        <v>984</v>
      </c>
      <c r="GWH30" s="197" t="s">
        <v>110</v>
      </c>
      <c r="GWI30" s="198"/>
      <c r="GWJ30" s="1"/>
      <c r="GWK30" s="195">
        <v>28</v>
      </c>
      <c r="GWL30" s="376" t="s">
        <v>984</v>
      </c>
      <c r="GWX30" s="197" t="s">
        <v>110</v>
      </c>
      <c r="GWY30" s="198"/>
      <c r="GWZ30" s="1"/>
      <c r="GXA30" s="195">
        <v>28</v>
      </c>
      <c r="GXB30" s="376" t="s">
        <v>984</v>
      </c>
      <c r="GXN30" s="197" t="s">
        <v>110</v>
      </c>
      <c r="GXO30" s="198"/>
      <c r="GXP30" s="1"/>
      <c r="GXQ30" s="195">
        <v>28</v>
      </c>
      <c r="GXR30" s="376" t="s">
        <v>984</v>
      </c>
      <c r="GYD30" s="197" t="s">
        <v>110</v>
      </c>
      <c r="GYE30" s="198"/>
      <c r="GYF30" s="1"/>
      <c r="GYG30" s="195">
        <v>28</v>
      </c>
      <c r="GYH30" s="376" t="s">
        <v>984</v>
      </c>
      <c r="GYT30" s="197" t="s">
        <v>110</v>
      </c>
      <c r="GYU30" s="198"/>
      <c r="GYV30" s="1"/>
      <c r="GYW30" s="195">
        <v>28</v>
      </c>
      <c r="GYX30" s="376" t="s">
        <v>984</v>
      </c>
      <c r="GZJ30" s="197" t="s">
        <v>110</v>
      </c>
      <c r="GZK30" s="198"/>
      <c r="GZL30" s="1"/>
      <c r="GZM30" s="195">
        <v>28</v>
      </c>
      <c r="GZN30" s="376" t="s">
        <v>984</v>
      </c>
      <c r="GZZ30" s="197" t="s">
        <v>110</v>
      </c>
      <c r="HAA30" s="198"/>
      <c r="HAB30" s="1"/>
      <c r="HAC30" s="195">
        <v>28</v>
      </c>
      <c r="HAD30" s="376" t="s">
        <v>984</v>
      </c>
      <c r="HAP30" s="197" t="s">
        <v>110</v>
      </c>
      <c r="HAQ30" s="198"/>
      <c r="HAR30" s="1"/>
      <c r="HAS30" s="195">
        <v>28</v>
      </c>
      <c r="HAT30" s="376" t="s">
        <v>984</v>
      </c>
      <c r="HBF30" s="197" t="s">
        <v>110</v>
      </c>
      <c r="HBG30" s="198"/>
      <c r="HBH30" s="1"/>
      <c r="HBI30" s="195">
        <v>28</v>
      </c>
      <c r="HBJ30" s="376" t="s">
        <v>984</v>
      </c>
      <c r="HBV30" s="197" t="s">
        <v>110</v>
      </c>
      <c r="HBW30" s="198"/>
      <c r="HBX30" s="1"/>
      <c r="HBY30" s="195">
        <v>28</v>
      </c>
      <c r="HBZ30" s="376" t="s">
        <v>984</v>
      </c>
      <c r="HCL30" s="197" t="s">
        <v>110</v>
      </c>
      <c r="HCM30" s="198"/>
      <c r="HCN30" s="1"/>
      <c r="HCO30" s="195">
        <v>28</v>
      </c>
      <c r="HCP30" s="376" t="s">
        <v>984</v>
      </c>
      <c r="HDB30" s="197" t="s">
        <v>110</v>
      </c>
      <c r="HDC30" s="198"/>
      <c r="HDD30" s="1"/>
      <c r="HDE30" s="195">
        <v>28</v>
      </c>
      <c r="HDF30" s="376" t="s">
        <v>984</v>
      </c>
      <c r="HDR30" s="197" t="s">
        <v>110</v>
      </c>
      <c r="HDS30" s="198"/>
      <c r="HDT30" s="1"/>
      <c r="HDU30" s="195">
        <v>28</v>
      </c>
      <c r="HDV30" s="376" t="s">
        <v>984</v>
      </c>
      <c r="HEH30" s="197" t="s">
        <v>110</v>
      </c>
      <c r="HEI30" s="198"/>
      <c r="HEJ30" s="1"/>
      <c r="HEK30" s="195">
        <v>28</v>
      </c>
      <c r="HEL30" s="376" t="s">
        <v>984</v>
      </c>
      <c r="HEX30" s="197" t="s">
        <v>110</v>
      </c>
      <c r="HEY30" s="198"/>
      <c r="HEZ30" s="1"/>
      <c r="HFA30" s="195">
        <v>28</v>
      </c>
      <c r="HFB30" s="376" t="s">
        <v>984</v>
      </c>
      <c r="HFN30" s="197" t="s">
        <v>110</v>
      </c>
      <c r="HFO30" s="198"/>
      <c r="HFP30" s="1"/>
      <c r="HFQ30" s="195">
        <v>28</v>
      </c>
      <c r="HFR30" s="376" t="s">
        <v>984</v>
      </c>
      <c r="HGD30" s="197" t="s">
        <v>110</v>
      </c>
      <c r="HGE30" s="198"/>
      <c r="HGF30" s="1"/>
      <c r="HGG30" s="195">
        <v>28</v>
      </c>
      <c r="HGH30" s="376" t="s">
        <v>984</v>
      </c>
      <c r="HGT30" s="197" t="s">
        <v>110</v>
      </c>
      <c r="HGU30" s="198"/>
      <c r="HGV30" s="1"/>
      <c r="HGW30" s="195">
        <v>28</v>
      </c>
      <c r="HGX30" s="376" t="s">
        <v>984</v>
      </c>
      <c r="HHJ30" s="197" t="s">
        <v>110</v>
      </c>
      <c r="HHK30" s="198"/>
      <c r="HHL30" s="1"/>
      <c r="HHM30" s="195">
        <v>28</v>
      </c>
      <c r="HHN30" s="376" t="s">
        <v>984</v>
      </c>
      <c r="HHZ30" s="197" t="s">
        <v>110</v>
      </c>
      <c r="HIA30" s="198"/>
      <c r="HIB30" s="1"/>
      <c r="HIC30" s="195">
        <v>28</v>
      </c>
      <c r="HID30" s="376" t="s">
        <v>984</v>
      </c>
      <c r="HIP30" s="197" t="s">
        <v>110</v>
      </c>
      <c r="HIQ30" s="198"/>
      <c r="HIR30" s="1"/>
      <c r="HIS30" s="195">
        <v>28</v>
      </c>
      <c r="HIT30" s="376" t="s">
        <v>984</v>
      </c>
      <c r="HJF30" s="197" t="s">
        <v>110</v>
      </c>
      <c r="HJG30" s="198"/>
      <c r="HJH30" s="1"/>
      <c r="HJI30" s="195">
        <v>28</v>
      </c>
      <c r="HJJ30" s="376" t="s">
        <v>984</v>
      </c>
      <c r="HJV30" s="197" t="s">
        <v>110</v>
      </c>
      <c r="HJW30" s="198"/>
      <c r="HJX30" s="1"/>
      <c r="HJY30" s="195">
        <v>28</v>
      </c>
      <c r="HJZ30" s="376" t="s">
        <v>984</v>
      </c>
      <c r="HKL30" s="197" t="s">
        <v>110</v>
      </c>
      <c r="HKM30" s="198"/>
      <c r="HKN30" s="1"/>
      <c r="HKO30" s="195">
        <v>28</v>
      </c>
      <c r="HKP30" s="376" t="s">
        <v>984</v>
      </c>
      <c r="HLB30" s="197" t="s">
        <v>110</v>
      </c>
      <c r="HLC30" s="198"/>
      <c r="HLD30" s="1"/>
      <c r="HLE30" s="195">
        <v>28</v>
      </c>
      <c r="HLF30" s="376" t="s">
        <v>984</v>
      </c>
      <c r="HLR30" s="197" t="s">
        <v>110</v>
      </c>
      <c r="HLS30" s="198"/>
      <c r="HLT30" s="1"/>
      <c r="HLU30" s="195">
        <v>28</v>
      </c>
      <c r="HLV30" s="376" t="s">
        <v>984</v>
      </c>
      <c r="HMH30" s="197" t="s">
        <v>110</v>
      </c>
      <c r="HMI30" s="198"/>
      <c r="HMJ30" s="1"/>
      <c r="HMK30" s="195">
        <v>28</v>
      </c>
      <c r="HML30" s="376" t="s">
        <v>984</v>
      </c>
      <c r="HMX30" s="197" t="s">
        <v>110</v>
      </c>
      <c r="HMY30" s="198"/>
      <c r="HMZ30" s="1"/>
      <c r="HNA30" s="195">
        <v>28</v>
      </c>
      <c r="HNB30" s="376" t="s">
        <v>984</v>
      </c>
      <c r="HNN30" s="197" t="s">
        <v>110</v>
      </c>
      <c r="HNO30" s="198"/>
      <c r="HNP30" s="1"/>
      <c r="HNQ30" s="195">
        <v>28</v>
      </c>
      <c r="HNR30" s="376" t="s">
        <v>984</v>
      </c>
      <c r="HOD30" s="197" t="s">
        <v>110</v>
      </c>
      <c r="HOE30" s="198"/>
      <c r="HOF30" s="1"/>
      <c r="HOG30" s="195">
        <v>28</v>
      </c>
      <c r="HOH30" s="376" t="s">
        <v>984</v>
      </c>
      <c r="HOT30" s="197" t="s">
        <v>110</v>
      </c>
      <c r="HOU30" s="198"/>
      <c r="HOV30" s="1"/>
      <c r="HOW30" s="195">
        <v>28</v>
      </c>
      <c r="HOX30" s="376" t="s">
        <v>984</v>
      </c>
      <c r="HPJ30" s="197" t="s">
        <v>110</v>
      </c>
      <c r="HPK30" s="198"/>
      <c r="HPL30" s="1"/>
      <c r="HPM30" s="195">
        <v>28</v>
      </c>
      <c r="HPN30" s="376" t="s">
        <v>984</v>
      </c>
      <c r="HPZ30" s="197" t="s">
        <v>110</v>
      </c>
      <c r="HQA30" s="198"/>
      <c r="HQB30" s="1"/>
      <c r="HQC30" s="195">
        <v>28</v>
      </c>
      <c r="HQD30" s="376" t="s">
        <v>984</v>
      </c>
      <c r="HQP30" s="197" t="s">
        <v>110</v>
      </c>
      <c r="HQQ30" s="198"/>
      <c r="HQR30" s="1"/>
      <c r="HQS30" s="195">
        <v>28</v>
      </c>
      <c r="HQT30" s="376" t="s">
        <v>984</v>
      </c>
      <c r="HRF30" s="197" t="s">
        <v>110</v>
      </c>
      <c r="HRG30" s="198"/>
      <c r="HRH30" s="1"/>
      <c r="HRI30" s="195">
        <v>28</v>
      </c>
      <c r="HRJ30" s="376" t="s">
        <v>984</v>
      </c>
      <c r="HRV30" s="197" t="s">
        <v>110</v>
      </c>
      <c r="HRW30" s="198"/>
      <c r="HRX30" s="1"/>
      <c r="HRY30" s="195">
        <v>28</v>
      </c>
      <c r="HRZ30" s="376" t="s">
        <v>984</v>
      </c>
      <c r="HSL30" s="197" t="s">
        <v>110</v>
      </c>
      <c r="HSM30" s="198"/>
      <c r="HSN30" s="1"/>
      <c r="HSO30" s="195">
        <v>28</v>
      </c>
      <c r="HSP30" s="376" t="s">
        <v>984</v>
      </c>
      <c r="HTB30" s="197" t="s">
        <v>110</v>
      </c>
      <c r="HTC30" s="198"/>
      <c r="HTD30" s="1"/>
      <c r="HTE30" s="195">
        <v>28</v>
      </c>
      <c r="HTF30" s="376" t="s">
        <v>984</v>
      </c>
      <c r="HTR30" s="197" t="s">
        <v>110</v>
      </c>
      <c r="HTS30" s="198"/>
      <c r="HTT30" s="1"/>
      <c r="HTU30" s="195">
        <v>28</v>
      </c>
      <c r="HTV30" s="376" t="s">
        <v>984</v>
      </c>
      <c r="HUH30" s="197" t="s">
        <v>110</v>
      </c>
      <c r="HUI30" s="198"/>
      <c r="HUJ30" s="1"/>
      <c r="HUK30" s="195">
        <v>28</v>
      </c>
      <c r="HUL30" s="376" t="s">
        <v>984</v>
      </c>
      <c r="HUX30" s="197" t="s">
        <v>110</v>
      </c>
      <c r="HUY30" s="198"/>
      <c r="HUZ30" s="1"/>
      <c r="HVA30" s="195">
        <v>28</v>
      </c>
      <c r="HVB30" s="376" t="s">
        <v>984</v>
      </c>
      <c r="HVN30" s="197" t="s">
        <v>110</v>
      </c>
      <c r="HVO30" s="198"/>
      <c r="HVP30" s="1"/>
      <c r="HVQ30" s="195">
        <v>28</v>
      </c>
      <c r="HVR30" s="376" t="s">
        <v>984</v>
      </c>
      <c r="HWD30" s="197" t="s">
        <v>110</v>
      </c>
      <c r="HWE30" s="198"/>
      <c r="HWF30" s="1"/>
      <c r="HWG30" s="195">
        <v>28</v>
      </c>
      <c r="HWH30" s="376" t="s">
        <v>984</v>
      </c>
      <c r="HWT30" s="197" t="s">
        <v>110</v>
      </c>
      <c r="HWU30" s="198"/>
      <c r="HWV30" s="1"/>
      <c r="HWW30" s="195">
        <v>28</v>
      </c>
      <c r="HWX30" s="376" t="s">
        <v>984</v>
      </c>
      <c r="HXJ30" s="197" t="s">
        <v>110</v>
      </c>
      <c r="HXK30" s="198"/>
      <c r="HXL30" s="1"/>
      <c r="HXM30" s="195">
        <v>28</v>
      </c>
      <c r="HXN30" s="376" t="s">
        <v>984</v>
      </c>
      <c r="HXZ30" s="197" t="s">
        <v>110</v>
      </c>
      <c r="HYA30" s="198"/>
      <c r="HYB30" s="1"/>
      <c r="HYC30" s="195">
        <v>28</v>
      </c>
      <c r="HYD30" s="376" t="s">
        <v>984</v>
      </c>
      <c r="HYP30" s="197" t="s">
        <v>110</v>
      </c>
      <c r="HYQ30" s="198"/>
      <c r="HYR30" s="1"/>
      <c r="HYS30" s="195">
        <v>28</v>
      </c>
      <c r="HYT30" s="376" t="s">
        <v>984</v>
      </c>
      <c r="HZF30" s="197" t="s">
        <v>110</v>
      </c>
      <c r="HZG30" s="198"/>
      <c r="HZH30" s="1"/>
      <c r="HZI30" s="195">
        <v>28</v>
      </c>
      <c r="HZJ30" s="376" t="s">
        <v>984</v>
      </c>
      <c r="HZV30" s="197" t="s">
        <v>110</v>
      </c>
      <c r="HZW30" s="198"/>
      <c r="HZX30" s="1"/>
      <c r="HZY30" s="195">
        <v>28</v>
      </c>
      <c r="HZZ30" s="376" t="s">
        <v>984</v>
      </c>
      <c r="IAL30" s="197" t="s">
        <v>110</v>
      </c>
      <c r="IAM30" s="198"/>
      <c r="IAN30" s="1"/>
      <c r="IAO30" s="195">
        <v>28</v>
      </c>
      <c r="IAP30" s="376" t="s">
        <v>984</v>
      </c>
      <c r="IBB30" s="197" t="s">
        <v>110</v>
      </c>
      <c r="IBC30" s="198"/>
      <c r="IBD30" s="1"/>
      <c r="IBE30" s="195">
        <v>28</v>
      </c>
      <c r="IBF30" s="376" t="s">
        <v>984</v>
      </c>
      <c r="IBR30" s="197" t="s">
        <v>110</v>
      </c>
      <c r="IBS30" s="198"/>
      <c r="IBT30" s="1"/>
      <c r="IBU30" s="195">
        <v>28</v>
      </c>
      <c r="IBV30" s="376" t="s">
        <v>984</v>
      </c>
      <c r="ICH30" s="197" t="s">
        <v>110</v>
      </c>
      <c r="ICI30" s="198"/>
      <c r="ICJ30" s="1"/>
      <c r="ICK30" s="195">
        <v>28</v>
      </c>
      <c r="ICL30" s="376" t="s">
        <v>984</v>
      </c>
      <c r="ICX30" s="197" t="s">
        <v>110</v>
      </c>
      <c r="ICY30" s="198"/>
      <c r="ICZ30" s="1"/>
      <c r="IDA30" s="195">
        <v>28</v>
      </c>
      <c r="IDB30" s="376" t="s">
        <v>984</v>
      </c>
      <c r="IDN30" s="197" t="s">
        <v>110</v>
      </c>
      <c r="IDO30" s="198"/>
      <c r="IDP30" s="1"/>
      <c r="IDQ30" s="195">
        <v>28</v>
      </c>
      <c r="IDR30" s="376" t="s">
        <v>984</v>
      </c>
      <c r="IED30" s="197" t="s">
        <v>110</v>
      </c>
      <c r="IEE30" s="198"/>
      <c r="IEF30" s="1"/>
      <c r="IEG30" s="195">
        <v>28</v>
      </c>
      <c r="IEH30" s="376" t="s">
        <v>984</v>
      </c>
      <c r="IET30" s="197" t="s">
        <v>110</v>
      </c>
      <c r="IEU30" s="198"/>
      <c r="IEV30" s="1"/>
      <c r="IEW30" s="195">
        <v>28</v>
      </c>
      <c r="IEX30" s="376" t="s">
        <v>984</v>
      </c>
      <c r="IFJ30" s="197" t="s">
        <v>110</v>
      </c>
      <c r="IFK30" s="198"/>
      <c r="IFL30" s="1"/>
      <c r="IFM30" s="195">
        <v>28</v>
      </c>
      <c r="IFN30" s="376" t="s">
        <v>984</v>
      </c>
      <c r="IFZ30" s="197" t="s">
        <v>110</v>
      </c>
      <c r="IGA30" s="198"/>
      <c r="IGB30" s="1"/>
      <c r="IGC30" s="195">
        <v>28</v>
      </c>
      <c r="IGD30" s="376" t="s">
        <v>984</v>
      </c>
      <c r="IGP30" s="197" t="s">
        <v>110</v>
      </c>
      <c r="IGQ30" s="198"/>
      <c r="IGR30" s="1"/>
      <c r="IGS30" s="195">
        <v>28</v>
      </c>
      <c r="IGT30" s="376" t="s">
        <v>984</v>
      </c>
      <c r="IHF30" s="197" t="s">
        <v>110</v>
      </c>
      <c r="IHG30" s="198"/>
      <c r="IHH30" s="1"/>
      <c r="IHI30" s="195">
        <v>28</v>
      </c>
      <c r="IHJ30" s="376" t="s">
        <v>984</v>
      </c>
      <c r="IHV30" s="197" t="s">
        <v>110</v>
      </c>
      <c r="IHW30" s="198"/>
      <c r="IHX30" s="1"/>
      <c r="IHY30" s="195">
        <v>28</v>
      </c>
      <c r="IHZ30" s="376" t="s">
        <v>984</v>
      </c>
      <c r="IIL30" s="197" t="s">
        <v>110</v>
      </c>
      <c r="IIM30" s="198"/>
      <c r="IIN30" s="1"/>
      <c r="IIO30" s="195">
        <v>28</v>
      </c>
      <c r="IIP30" s="376" t="s">
        <v>984</v>
      </c>
      <c r="IJB30" s="197" t="s">
        <v>110</v>
      </c>
      <c r="IJC30" s="198"/>
      <c r="IJD30" s="1"/>
      <c r="IJE30" s="195">
        <v>28</v>
      </c>
      <c r="IJF30" s="376" t="s">
        <v>984</v>
      </c>
      <c r="IJR30" s="197" t="s">
        <v>110</v>
      </c>
      <c r="IJS30" s="198"/>
      <c r="IJT30" s="1"/>
      <c r="IJU30" s="195">
        <v>28</v>
      </c>
      <c r="IJV30" s="376" t="s">
        <v>984</v>
      </c>
      <c r="IKH30" s="197" t="s">
        <v>110</v>
      </c>
      <c r="IKI30" s="198"/>
      <c r="IKJ30" s="1"/>
      <c r="IKK30" s="195">
        <v>28</v>
      </c>
      <c r="IKL30" s="376" t="s">
        <v>984</v>
      </c>
      <c r="IKX30" s="197" t="s">
        <v>110</v>
      </c>
      <c r="IKY30" s="198"/>
      <c r="IKZ30" s="1"/>
      <c r="ILA30" s="195">
        <v>28</v>
      </c>
      <c r="ILB30" s="376" t="s">
        <v>984</v>
      </c>
      <c r="ILN30" s="197" t="s">
        <v>110</v>
      </c>
      <c r="ILO30" s="198"/>
      <c r="ILP30" s="1"/>
      <c r="ILQ30" s="195">
        <v>28</v>
      </c>
      <c r="ILR30" s="376" t="s">
        <v>984</v>
      </c>
      <c r="IMD30" s="197" t="s">
        <v>110</v>
      </c>
      <c r="IME30" s="198"/>
      <c r="IMF30" s="1"/>
      <c r="IMG30" s="195">
        <v>28</v>
      </c>
      <c r="IMH30" s="376" t="s">
        <v>984</v>
      </c>
      <c r="IMT30" s="197" t="s">
        <v>110</v>
      </c>
      <c r="IMU30" s="198"/>
      <c r="IMV30" s="1"/>
      <c r="IMW30" s="195">
        <v>28</v>
      </c>
      <c r="IMX30" s="376" t="s">
        <v>984</v>
      </c>
      <c r="INJ30" s="197" t="s">
        <v>110</v>
      </c>
      <c r="INK30" s="198"/>
      <c r="INL30" s="1"/>
      <c r="INM30" s="195">
        <v>28</v>
      </c>
      <c r="INN30" s="376" t="s">
        <v>984</v>
      </c>
      <c r="INZ30" s="197" t="s">
        <v>110</v>
      </c>
      <c r="IOA30" s="198"/>
      <c r="IOB30" s="1"/>
      <c r="IOC30" s="195">
        <v>28</v>
      </c>
      <c r="IOD30" s="376" t="s">
        <v>984</v>
      </c>
      <c r="IOP30" s="197" t="s">
        <v>110</v>
      </c>
      <c r="IOQ30" s="198"/>
      <c r="IOR30" s="1"/>
      <c r="IOS30" s="195">
        <v>28</v>
      </c>
      <c r="IOT30" s="376" t="s">
        <v>984</v>
      </c>
      <c r="IPF30" s="197" t="s">
        <v>110</v>
      </c>
      <c r="IPG30" s="198"/>
      <c r="IPH30" s="1"/>
      <c r="IPI30" s="195">
        <v>28</v>
      </c>
      <c r="IPJ30" s="376" t="s">
        <v>984</v>
      </c>
      <c r="IPV30" s="197" t="s">
        <v>110</v>
      </c>
      <c r="IPW30" s="198"/>
      <c r="IPX30" s="1"/>
      <c r="IPY30" s="195">
        <v>28</v>
      </c>
      <c r="IPZ30" s="376" t="s">
        <v>984</v>
      </c>
      <c r="IQL30" s="197" t="s">
        <v>110</v>
      </c>
      <c r="IQM30" s="198"/>
      <c r="IQN30" s="1"/>
      <c r="IQO30" s="195">
        <v>28</v>
      </c>
      <c r="IQP30" s="376" t="s">
        <v>984</v>
      </c>
      <c r="IRB30" s="197" t="s">
        <v>110</v>
      </c>
      <c r="IRC30" s="198"/>
      <c r="IRD30" s="1"/>
      <c r="IRE30" s="195">
        <v>28</v>
      </c>
      <c r="IRF30" s="376" t="s">
        <v>984</v>
      </c>
      <c r="IRR30" s="197" t="s">
        <v>110</v>
      </c>
      <c r="IRS30" s="198"/>
      <c r="IRT30" s="1"/>
      <c r="IRU30" s="195">
        <v>28</v>
      </c>
      <c r="IRV30" s="376" t="s">
        <v>984</v>
      </c>
      <c r="ISH30" s="197" t="s">
        <v>110</v>
      </c>
      <c r="ISI30" s="198"/>
      <c r="ISJ30" s="1"/>
      <c r="ISK30" s="195">
        <v>28</v>
      </c>
      <c r="ISL30" s="376" t="s">
        <v>984</v>
      </c>
      <c r="ISX30" s="197" t="s">
        <v>110</v>
      </c>
      <c r="ISY30" s="198"/>
      <c r="ISZ30" s="1"/>
      <c r="ITA30" s="195">
        <v>28</v>
      </c>
      <c r="ITB30" s="376" t="s">
        <v>984</v>
      </c>
      <c r="ITN30" s="197" t="s">
        <v>110</v>
      </c>
      <c r="ITO30" s="198"/>
      <c r="ITP30" s="1"/>
      <c r="ITQ30" s="195">
        <v>28</v>
      </c>
      <c r="ITR30" s="376" t="s">
        <v>984</v>
      </c>
      <c r="IUD30" s="197" t="s">
        <v>110</v>
      </c>
      <c r="IUE30" s="198"/>
      <c r="IUF30" s="1"/>
      <c r="IUG30" s="195">
        <v>28</v>
      </c>
      <c r="IUH30" s="376" t="s">
        <v>984</v>
      </c>
      <c r="IUT30" s="197" t="s">
        <v>110</v>
      </c>
      <c r="IUU30" s="198"/>
      <c r="IUV30" s="1"/>
      <c r="IUW30" s="195">
        <v>28</v>
      </c>
      <c r="IUX30" s="376" t="s">
        <v>984</v>
      </c>
      <c r="IVJ30" s="197" t="s">
        <v>110</v>
      </c>
      <c r="IVK30" s="198"/>
      <c r="IVL30" s="1"/>
      <c r="IVM30" s="195">
        <v>28</v>
      </c>
      <c r="IVN30" s="376" t="s">
        <v>984</v>
      </c>
      <c r="IVZ30" s="197" t="s">
        <v>110</v>
      </c>
      <c r="IWA30" s="198"/>
      <c r="IWB30" s="1"/>
      <c r="IWC30" s="195">
        <v>28</v>
      </c>
      <c r="IWD30" s="376" t="s">
        <v>984</v>
      </c>
      <c r="IWP30" s="197" t="s">
        <v>110</v>
      </c>
      <c r="IWQ30" s="198"/>
      <c r="IWR30" s="1"/>
      <c r="IWS30" s="195">
        <v>28</v>
      </c>
      <c r="IWT30" s="376" t="s">
        <v>984</v>
      </c>
      <c r="IXF30" s="197" t="s">
        <v>110</v>
      </c>
      <c r="IXG30" s="198"/>
      <c r="IXH30" s="1"/>
      <c r="IXI30" s="195">
        <v>28</v>
      </c>
      <c r="IXJ30" s="376" t="s">
        <v>984</v>
      </c>
      <c r="IXV30" s="197" t="s">
        <v>110</v>
      </c>
      <c r="IXW30" s="198"/>
      <c r="IXX30" s="1"/>
      <c r="IXY30" s="195">
        <v>28</v>
      </c>
      <c r="IXZ30" s="376" t="s">
        <v>984</v>
      </c>
      <c r="IYL30" s="197" t="s">
        <v>110</v>
      </c>
      <c r="IYM30" s="198"/>
      <c r="IYN30" s="1"/>
      <c r="IYO30" s="195">
        <v>28</v>
      </c>
      <c r="IYP30" s="376" t="s">
        <v>984</v>
      </c>
      <c r="IZB30" s="197" t="s">
        <v>110</v>
      </c>
      <c r="IZC30" s="198"/>
      <c r="IZD30" s="1"/>
      <c r="IZE30" s="195">
        <v>28</v>
      </c>
      <c r="IZF30" s="376" t="s">
        <v>984</v>
      </c>
      <c r="IZR30" s="197" t="s">
        <v>110</v>
      </c>
      <c r="IZS30" s="198"/>
      <c r="IZT30" s="1"/>
      <c r="IZU30" s="195">
        <v>28</v>
      </c>
      <c r="IZV30" s="376" t="s">
        <v>984</v>
      </c>
      <c r="JAH30" s="197" t="s">
        <v>110</v>
      </c>
      <c r="JAI30" s="198"/>
      <c r="JAJ30" s="1"/>
      <c r="JAK30" s="195">
        <v>28</v>
      </c>
      <c r="JAL30" s="376" t="s">
        <v>984</v>
      </c>
      <c r="JAX30" s="197" t="s">
        <v>110</v>
      </c>
      <c r="JAY30" s="198"/>
      <c r="JAZ30" s="1"/>
      <c r="JBA30" s="195">
        <v>28</v>
      </c>
      <c r="JBB30" s="376" t="s">
        <v>984</v>
      </c>
      <c r="JBN30" s="197" t="s">
        <v>110</v>
      </c>
      <c r="JBO30" s="198"/>
      <c r="JBP30" s="1"/>
      <c r="JBQ30" s="195">
        <v>28</v>
      </c>
      <c r="JBR30" s="376" t="s">
        <v>984</v>
      </c>
      <c r="JCD30" s="197" t="s">
        <v>110</v>
      </c>
      <c r="JCE30" s="198"/>
      <c r="JCF30" s="1"/>
      <c r="JCG30" s="195">
        <v>28</v>
      </c>
      <c r="JCH30" s="376" t="s">
        <v>984</v>
      </c>
      <c r="JCT30" s="197" t="s">
        <v>110</v>
      </c>
      <c r="JCU30" s="198"/>
      <c r="JCV30" s="1"/>
      <c r="JCW30" s="195">
        <v>28</v>
      </c>
      <c r="JCX30" s="376" t="s">
        <v>984</v>
      </c>
      <c r="JDJ30" s="197" t="s">
        <v>110</v>
      </c>
      <c r="JDK30" s="198"/>
      <c r="JDL30" s="1"/>
      <c r="JDM30" s="195">
        <v>28</v>
      </c>
      <c r="JDN30" s="376" t="s">
        <v>984</v>
      </c>
      <c r="JDZ30" s="197" t="s">
        <v>110</v>
      </c>
      <c r="JEA30" s="198"/>
      <c r="JEB30" s="1"/>
      <c r="JEC30" s="195">
        <v>28</v>
      </c>
      <c r="JED30" s="376" t="s">
        <v>984</v>
      </c>
      <c r="JEP30" s="197" t="s">
        <v>110</v>
      </c>
      <c r="JEQ30" s="198"/>
      <c r="JER30" s="1"/>
      <c r="JES30" s="195">
        <v>28</v>
      </c>
      <c r="JET30" s="376" t="s">
        <v>984</v>
      </c>
      <c r="JFF30" s="197" t="s">
        <v>110</v>
      </c>
      <c r="JFG30" s="198"/>
      <c r="JFH30" s="1"/>
      <c r="JFI30" s="195">
        <v>28</v>
      </c>
      <c r="JFJ30" s="376" t="s">
        <v>984</v>
      </c>
      <c r="JFV30" s="197" t="s">
        <v>110</v>
      </c>
      <c r="JFW30" s="198"/>
      <c r="JFX30" s="1"/>
      <c r="JFY30" s="195">
        <v>28</v>
      </c>
      <c r="JFZ30" s="376" t="s">
        <v>984</v>
      </c>
      <c r="JGL30" s="197" t="s">
        <v>110</v>
      </c>
      <c r="JGM30" s="198"/>
      <c r="JGN30" s="1"/>
      <c r="JGO30" s="195">
        <v>28</v>
      </c>
      <c r="JGP30" s="376" t="s">
        <v>984</v>
      </c>
      <c r="JHB30" s="197" t="s">
        <v>110</v>
      </c>
      <c r="JHC30" s="198"/>
      <c r="JHD30" s="1"/>
      <c r="JHE30" s="195">
        <v>28</v>
      </c>
      <c r="JHF30" s="376" t="s">
        <v>984</v>
      </c>
      <c r="JHR30" s="197" t="s">
        <v>110</v>
      </c>
      <c r="JHS30" s="198"/>
      <c r="JHT30" s="1"/>
      <c r="JHU30" s="195">
        <v>28</v>
      </c>
      <c r="JHV30" s="376" t="s">
        <v>984</v>
      </c>
      <c r="JIH30" s="197" t="s">
        <v>110</v>
      </c>
      <c r="JII30" s="198"/>
      <c r="JIJ30" s="1"/>
      <c r="JIK30" s="195">
        <v>28</v>
      </c>
      <c r="JIL30" s="376" t="s">
        <v>984</v>
      </c>
      <c r="JIX30" s="197" t="s">
        <v>110</v>
      </c>
      <c r="JIY30" s="198"/>
      <c r="JIZ30" s="1"/>
      <c r="JJA30" s="195">
        <v>28</v>
      </c>
      <c r="JJB30" s="376" t="s">
        <v>984</v>
      </c>
      <c r="JJN30" s="197" t="s">
        <v>110</v>
      </c>
      <c r="JJO30" s="198"/>
      <c r="JJP30" s="1"/>
      <c r="JJQ30" s="195">
        <v>28</v>
      </c>
      <c r="JJR30" s="376" t="s">
        <v>984</v>
      </c>
      <c r="JKD30" s="197" t="s">
        <v>110</v>
      </c>
      <c r="JKE30" s="198"/>
      <c r="JKF30" s="1"/>
      <c r="JKG30" s="195">
        <v>28</v>
      </c>
      <c r="JKH30" s="376" t="s">
        <v>984</v>
      </c>
      <c r="JKT30" s="197" t="s">
        <v>110</v>
      </c>
      <c r="JKU30" s="198"/>
      <c r="JKV30" s="1"/>
      <c r="JKW30" s="195">
        <v>28</v>
      </c>
      <c r="JKX30" s="376" t="s">
        <v>984</v>
      </c>
      <c r="JLJ30" s="197" t="s">
        <v>110</v>
      </c>
      <c r="JLK30" s="198"/>
      <c r="JLL30" s="1"/>
      <c r="JLM30" s="195">
        <v>28</v>
      </c>
      <c r="JLN30" s="376" t="s">
        <v>984</v>
      </c>
      <c r="JLZ30" s="197" t="s">
        <v>110</v>
      </c>
      <c r="JMA30" s="198"/>
      <c r="JMB30" s="1"/>
      <c r="JMC30" s="195">
        <v>28</v>
      </c>
      <c r="JMD30" s="376" t="s">
        <v>984</v>
      </c>
      <c r="JMP30" s="197" t="s">
        <v>110</v>
      </c>
      <c r="JMQ30" s="198"/>
      <c r="JMR30" s="1"/>
      <c r="JMS30" s="195">
        <v>28</v>
      </c>
      <c r="JMT30" s="376" t="s">
        <v>984</v>
      </c>
      <c r="JNF30" s="197" t="s">
        <v>110</v>
      </c>
      <c r="JNG30" s="198"/>
      <c r="JNH30" s="1"/>
      <c r="JNI30" s="195">
        <v>28</v>
      </c>
      <c r="JNJ30" s="376" t="s">
        <v>984</v>
      </c>
      <c r="JNV30" s="197" t="s">
        <v>110</v>
      </c>
      <c r="JNW30" s="198"/>
      <c r="JNX30" s="1"/>
      <c r="JNY30" s="195">
        <v>28</v>
      </c>
      <c r="JNZ30" s="376" t="s">
        <v>984</v>
      </c>
      <c r="JOL30" s="197" t="s">
        <v>110</v>
      </c>
      <c r="JOM30" s="198"/>
      <c r="JON30" s="1"/>
      <c r="JOO30" s="195">
        <v>28</v>
      </c>
      <c r="JOP30" s="376" t="s">
        <v>984</v>
      </c>
      <c r="JPB30" s="197" t="s">
        <v>110</v>
      </c>
      <c r="JPC30" s="198"/>
      <c r="JPD30" s="1"/>
      <c r="JPE30" s="195">
        <v>28</v>
      </c>
      <c r="JPF30" s="376" t="s">
        <v>984</v>
      </c>
      <c r="JPR30" s="197" t="s">
        <v>110</v>
      </c>
      <c r="JPS30" s="198"/>
      <c r="JPT30" s="1"/>
      <c r="JPU30" s="195">
        <v>28</v>
      </c>
      <c r="JPV30" s="376" t="s">
        <v>984</v>
      </c>
      <c r="JQH30" s="197" t="s">
        <v>110</v>
      </c>
      <c r="JQI30" s="198"/>
      <c r="JQJ30" s="1"/>
      <c r="JQK30" s="195">
        <v>28</v>
      </c>
      <c r="JQL30" s="376" t="s">
        <v>984</v>
      </c>
      <c r="JQX30" s="197" t="s">
        <v>110</v>
      </c>
      <c r="JQY30" s="198"/>
      <c r="JQZ30" s="1"/>
      <c r="JRA30" s="195">
        <v>28</v>
      </c>
      <c r="JRB30" s="376" t="s">
        <v>984</v>
      </c>
      <c r="JRN30" s="197" t="s">
        <v>110</v>
      </c>
      <c r="JRO30" s="198"/>
      <c r="JRP30" s="1"/>
      <c r="JRQ30" s="195">
        <v>28</v>
      </c>
      <c r="JRR30" s="376" t="s">
        <v>984</v>
      </c>
      <c r="JSD30" s="197" t="s">
        <v>110</v>
      </c>
      <c r="JSE30" s="198"/>
      <c r="JSF30" s="1"/>
      <c r="JSG30" s="195">
        <v>28</v>
      </c>
      <c r="JSH30" s="376" t="s">
        <v>984</v>
      </c>
      <c r="JST30" s="197" t="s">
        <v>110</v>
      </c>
      <c r="JSU30" s="198"/>
      <c r="JSV30" s="1"/>
      <c r="JSW30" s="195">
        <v>28</v>
      </c>
      <c r="JSX30" s="376" t="s">
        <v>984</v>
      </c>
      <c r="JTJ30" s="197" t="s">
        <v>110</v>
      </c>
      <c r="JTK30" s="198"/>
      <c r="JTL30" s="1"/>
      <c r="JTM30" s="195">
        <v>28</v>
      </c>
      <c r="JTN30" s="376" t="s">
        <v>984</v>
      </c>
      <c r="JTZ30" s="197" t="s">
        <v>110</v>
      </c>
      <c r="JUA30" s="198"/>
      <c r="JUB30" s="1"/>
      <c r="JUC30" s="195">
        <v>28</v>
      </c>
      <c r="JUD30" s="376" t="s">
        <v>984</v>
      </c>
      <c r="JUP30" s="197" t="s">
        <v>110</v>
      </c>
      <c r="JUQ30" s="198"/>
      <c r="JUR30" s="1"/>
      <c r="JUS30" s="195">
        <v>28</v>
      </c>
      <c r="JUT30" s="376" t="s">
        <v>984</v>
      </c>
      <c r="JVF30" s="197" t="s">
        <v>110</v>
      </c>
      <c r="JVG30" s="198"/>
      <c r="JVH30" s="1"/>
      <c r="JVI30" s="195">
        <v>28</v>
      </c>
      <c r="JVJ30" s="376" t="s">
        <v>984</v>
      </c>
      <c r="JVV30" s="197" t="s">
        <v>110</v>
      </c>
      <c r="JVW30" s="198"/>
      <c r="JVX30" s="1"/>
      <c r="JVY30" s="195">
        <v>28</v>
      </c>
      <c r="JVZ30" s="376" t="s">
        <v>984</v>
      </c>
      <c r="JWL30" s="197" t="s">
        <v>110</v>
      </c>
      <c r="JWM30" s="198"/>
      <c r="JWN30" s="1"/>
      <c r="JWO30" s="195">
        <v>28</v>
      </c>
      <c r="JWP30" s="376" t="s">
        <v>984</v>
      </c>
      <c r="JXB30" s="197" t="s">
        <v>110</v>
      </c>
      <c r="JXC30" s="198"/>
      <c r="JXD30" s="1"/>
      <c r="JXE30" s="195">
        <v>28</v>
      </c>
      <c r="JXF30" s="376" t="s">
        <v>984</v>
      </c>
      <c r="JXR30" s="197" t="s">
        <v>110</v>
      </c>
      <c r="JXS30" s="198"/>
      <c r="JXT30" s="1"/>
      <c r="JXU30" s="195">
        <v>28</v>
      </c>
      <c r="JXV30" s="376" t="s">
        <v>984</v>
      </c>
      <c r="JYH30" s="197" t="s">
        <v>110</v>
      </c>
      <c r="JYI30" s="198"/>
      <c r="JYJ30" s="1"/>
      <c r="JYK30" s="195">
        <v>28</v>
      </c>
      <c r="JYL30" s="376" t="s">
        <v>984</v>
      </c>
      <c r="JYX30" s="197" t="s">
        <v>110</v>
      </c>
      <c r="JYY30" s="198"/>
      <c r="JYZ30" s="1"/>
      <c r="JZA30" s="195">
        <v>28</v>
      </c>
      <c r="JZB30" s="376" t="s">
        <v>984</v>
      </c>
      <c r="JZN30" s="197" t="s">
        <v>110</v>
      </c>
      <c r="JZO30" s="198"/>
      <c r="JZP30" s="1"/>
      <c r="JZQ30" s="195">
        <v>28</v>
      </c>
      <c r="JZR30" s="376" t="s">
        <v>984</v>
      </c>
      <c r="KAD30" s="197" t="s">
        <v>110</v>
      </c>
      <c r="KAE30" s="198"/>
      <c r="KAF30" s="1"/>
      <c r="KAG30" s="195">
        <v>28</v>
      </c>
      <c r="KAH30" s="376" t="s">
        <v>984</v>
      </c>
      <c r="KAT30" s="197" t="s">
        <v>110</v>
      </c>
      <c r="KAU30" s="198"/>
      <c r="KAV30" s="1"/>
      <c r="KAW30" s="195">
        <v>28</v>
      </c>
      <c r="KAX30" s="376" t="s">
        <v>984</v>
      </c>
      <c r="KBJ30" s="197" t="s">
        <v>110</v>
      </c>
      <c r="KBK30" s="198"/>
      <c r="KBL30" s="1"/>
      <c r="KBM30" s="195">
        <v>28</v>
      </c>
      <c r="KBN30" s="376" t="s">
        <v>984</v>
      </c>
      <c r="KBZ30" s="197" t="s">
        <v>110</v>
      </c>
      <c r="KCA30" s="198"/>
      <c r="KCB30" s="1"/>
      <c r="KCC30" s="195">
        <v>28</v>
      </c>
      <c r="KCD30" s="376" t="s">
        <v>984</v>
      </c>
      <c r="KCP30" s="197" t="s">
        <v>110</v>
      </c>
      <c r="KCQ30" s="198"/>
      <c r="KCR30" s="1"/>
      <c r="KCS30" s="195">
        <v>28</v>
      </c>
      <c r="KCT30" s="376" t="s">
        <v>984</v>
      </c>
      <c r="KDF30" s="197" t="s">
        <v>110</v>
      </c>
      <c r="KDG30" s="198"/>
      <c r="KDH30" s="1"/>
      <c r="KDI30" s="195">
        <v>28</v>
      </c>
      <c r="KDJ30" s="376" t="s">
        <v>984</v>
      </c>
      <c r="KDV30" s="197" t="s">
        <v>110</v>
      </c>
      <c r="KDW30" s="198"/>
      <c r="KDX30" s="1"/>
      <c r="KDY30" s="195">
        <v>28</v>
      </c>
      <c r="KDZ30" s="376" t="s">
        <v>984</v>
      </c>
      <c r="KEL30" s="197" t="s">
        <v>110</v>
      </c>
      <c r="KEM30" s="198"/>
      <c r="KEN30" s="1"/>
      <c r="KEO30" s="195">
        <v>28</v>
      </c>
      <c r="KEP30" s="376" t="s">
        <v>984</v>
      </c>
      <c r="KFB30" s="197" t="s">
        <v>110</v>
      </c>
      <c r="KFC30" s="198"/>
      <c r="KFD30" s="1"/>
      <c r="KFE30" s="195">
        <v>28</v>
      </c>
      <c r="KFF30" s="376" t="s">
        <v>984</v>
      </c>
      <c r="KFR30" s="197" t="s">
        <v>110</v>
      </c>
      <c r="KFS30" s="198"/>
      <c r="KFT30" s="1"/>
      <c r="KFU30" s="195">
        <v>28</v>
      </c>
      <c r="KFV30" s="376" t="s">
        <v>984</v>
      </c>
      <c r="KGH30" s="197" t="s">
        <v>110</v>
      </c>
      <c r="KGI30" s="198"/>
      <c r="KGJ30" s="1"/>
      <c r="KGK30" s="195">
        <v>28</v>
      </c>
      <c r="KGL30" s="376" t="s">
        <v>984</v>
      </c>
      <c r="KGX30" s="197" t="s">
        <v>110</v>
      </c>
      <c r="KGY30" s="198"/>
      <c r="KGZ30" s="1"/>
      <c r="KHA30" s="195">
        <v>28</v>
      </c>
      <c r="KHB30" s="376" t="s">
        <v>984</v>
      </c>
      <c r="KHN30" s="197" t="s">
        <v>110</v>
      </c>
      <c r="KHO30" s="198"/>
      <c r="KHP30" s="1"/>
      <c r="KHQ30" s="195">
        <v>28</v>
      </c>
      <c r="KHR30" s="376" t="s">
        <v>984</v>
      </c>
      <c r="KID30" s="197" t="s">
        <v>110</v>
      </c>
      <c r="KIE30" s="198"/>
      <c r="KIF30" s="1"/>
      <c r="KIG30" s="195">
        <v>28</v>
      </c>
      <c r="KIH30" s="376" t="s">
        <v>984</v>
      </c>
      <c r="KIT30" s="197" t="s">
        <v>110</v>
      </c>
      <c r="KIU30" s="198"/>
      <c r="KIV30" s="1"/>
      <c r="KIW30" s="195">
        <v>28</v>
      </c>
      <c r="KIX30" s="376" t="s">
        <v>984</v>
      </c>
      <c r="KJJ30" s="197" t="s">
        <v>110</v>
      </c>
      <c r="KJK30" s="198"/>
      <c r="KJL30" s="1"/>
      <c r="KJM30" s="195">
        <v>28</v>
      </c>
      <c r="KJN30" s="376" t="s">
        <v>984</v>
      </c>
      <c r="KJZ30" s="197" t="s">
        <v>110</v>
      </c>
      <c r="KKA30" s="198"/>
      <c r="KKB30" s="1"/>
      <c r="KKC30" s="195">
        <v>28</v>
      </c>
      <c r="KKD30" s="376" t="s">
        <v>984</v>
      </c>
      <c r="KKP30" s="197" t="s">
        <v>110</v>
      </c>
      <c r="KKQ30" s="198"/>
      <c r="KKR30" s="1"/>
      <c r="KKS30" s="195">
        <v>28</v>
      </c>
      <c r="KKT30" s="376" t="s">
        <v>984</v>
      </c>
      <c r="KLF30" s="197" t="s">
        <v>110</v>
      </c>
      <c r="KLG30" s="198"/>
      <c r="KLH30" s="1"/>
      <c r="KLI30" s="195">
        <v>28</v>
      </c>
      <c r="KLJ30" s="376" t="s">
        <v>984</v>
      </c>
      <c r="KLV30" s="197" t="s">
        <v>110</v>
      </c>
      <c r="KLW30" s="198"/>
      <c r="KLX30" s="1"/>
      <c r="KLY30" s="195">
        <v>28</v>
      </c>
      <c r="KLZ30" s="376" t="s">
        <v>984</v>
      </c>
      <c r="KML30" s="197" t="s">
        <v>110</v>
      </c>
      <c r="KMM30" s="198"/>
      <c r="KMN30" s="1"/>
      <c r="KMO30" s="195">
        <v>28</v>
      </c>
      <c r="KMP30" s="376" t="s">
        <v>984</v>
      </c>
      <c r="KNB30" s="197" t="s">
        <v>110</v>
      </c>
      <c r="KNC30" s="198"/>
      <c r="KND30" s="1"/>
      <c r="KNE30" s="195">
        <v>28</v>
      </c>
      <c r="KNF30" s="376" t="s">
        <v>984</v>
      </c>
      <c r="KNR30" s="197" t="s">
        <v>110</v>
      </c>
      <c r="KNS30" s="198"/>
      <c r="KNT30" s="1"/>
      <c r="KNU30" s="195">
        <v>28</v>
      </c>
      <c r="KNV30" s="376" t="s">
        <v>984</v>
      </c>
      <c r="KOH30" s="197" t="s">
        <v>110</v>
      </c>
      <c r="KOI30" s="198"/>
      <c r="KOJ30" s="1"/>
      <c r="KOK30" s="195">
        <v>28</v>
      </c>
      <c r="KOL30" s="376" t="s">
        <v>984</v>
      </c>
      <c r="KOX30" s="197" t="s">
        <v>110</v>
      </c>
      <c r="KOY30" s="198"/>
      <c r="KOZ30" s="1"/>
      <c r="KPA30" s="195">
        <v>28</v>
      </c>
      <c r="KPB30" s="376" t="s">
        <v>984</v>
      </c>
      <c r="KPN30" s="197" t="s">
        <v>110</v>
      </c>
      <c r="KPO30" s="198"/>
      <c r="KPP30" s="1"/>
      <c r="KPQ30" s="195">
        <v>28</v>
      </c>
      <c r="KPR30" s="376" t="s">
        <v>984</v>
      </c>
      <c r="KQD30" s="197" t="s">
        <v>110</v>
      </c>
      <c r="KQE30" s="198"/>
      <c r="KQF30" s="1"/>
      <c r="KQG30" s="195">
        <v>28</v>
      </c>
      <c r="KQH30" s="376" t="s">
        <v>984</v>
      </c>
      <c r="KQT30" s="197" t="s">
        <v>110</v>
      </c>
      <c r="KQU30" s="198"/>
      <c r="KQV30" s="1"/>
      <c r="KQW30" s="195">
        <v>28</v>
      </c>
      <c r="KQX30" s="376" t="s">
        <v>984</v>
      </c>
      <c r="KRJ30" s="197" t="s">
        <v>110</v>
      </c>
      <c r="KRK30" s="198"/>
      <c r="KRL30" s="1"/>
      <c r="KRM30" s="195">
        <v>28</v>
      </c>
      <c r="KRN30" s="376" t="s">
        <v>984</v>
      </c>
      <c r="KRZ30" s="197" t="s">
        <v>110</v>
      </c>
      <c r="KSA30" s="198"/>
      <c r="KSB30" s="1"/>
      <c r="KSC30" s="195">
        <v>28</v>
      </c>
      <c r="KSD30" s="376" t="s">
        <v>984</v>
      </c>
      <c r="KSP30" s="197" t="s">
        <v>110</v>
      </c>
      <c r="KSQ30" s="198"/>
      <c r="KSR30" s="1"/>
      <c r="KSS30" s="195">
        <v>28</v>
      </c>
      <c r="KST30" s="376" t="s">
        <v>984</v>
      </c>
      <c r="KTF30" s="197" t="s">
        <v>110</v>
      </c>
      <c r="KTG30" s="198"/>
      <c r="KTH30" s="1"/>
      <c r="KTI30" s="195">
        <v>28</v>
      </c>
      <c r="KTJ30" s="376" t="s">
        <v>984</v>
      </c>
      <c r="KTV30" s="197" t="s">
        <v>110</v>
      </c>
      <c r="KTW30" s="198"/>
      <c r="KTX30" s="1"/>
      <c r="KTY30" s="195">
        <v>28</v>
      </c>
      <c r="KTZ30" s="376" t="s">
        <v>984</v>
      </c>
      <c r="KUL30" s="197" t="s">
        <v>110</v>
      </c>
      <c r="KUM30" s="198"/>
      <c r="KUN30" s="1"/>
      <c r="KUO30" s="195">
        <v>28</v>
      </c>
      <c r="KUP30" s="376" t="s">
        <v>984</v>
      </c>
      <c r="KVB30" s="197" t="s">
        <v>110</v>
      </c>
      <c r="KVC30" s="198"/>
      <c r="KVD30" s="1"/>
      <c r="KVE30" s="195">
        <v>28</v>
      </c>
      <c r="KVF30" s="376" t="s">
        <v>984</v>
      </c>
      <c r="KVR30" s="197" t="s">
        <v>110</v>
      </c>
      <c r="KVS30" s="198"/>
      <c r="KVT30" s="1"/>
      <c r="KVU30" s="195">
        <v>28</v>
      </c>
      <c r="KVV30" s="376" t="s">
        <v>984</v>
      </c>
      <c r="KWH30" s="197" t="s">
        <v>110</v>
      </c>
      <c r="KWI30" s="198"/>
      <c r="KWJ30" s="1"/>
      <c r="KWK30" s="195">
        <v>28</v>
      </c>
      <c r="KWL30" s="376" t="s">
        <v>984</v>
      </c>
      <c r="KWX30" s="197" t="s">
        <v>110</v>
      </c>
      <c r="KWY30" s="198"/>
      <c r="KWZ30" s="1"/>
      <c r="KXA30" s="195">
        <v>28</v>
      </c>
      <c r="KXB30" s="376" t="s">
        <v>984</v>
      </c>
      <c r="KXN30" s="197" t="s">
        <v>110</v>
      </c>
      <c r="KXO30" s="198"/>
      <c r="KXP30" s="1"/>
      <c r="KXQ30" s="195">
        <v>28</v>
      </c>
      <c r="KXR30" s="376" t="s">
        <v>984</v>
      </c>
      <c r="KYD30" s="197" t="s">
        <v>110</v>
      </c>
      <c r="KYE30" s="198"/>
      <c r="KYF30" s="1"/>
      <c r="KYG30" s="195">
        <v>28</v>
      </c>
      <c r="KYH30" s="376" t="s">
        <v>984</v>
      </c>
      <c r="KYT30" s="197" t="s">
        <v>110</v>
      </c>
      <c r="KYU30" s="198"/>
      <c r="KYV30" s="1"/>
      <c r="KYW30" s="195">
        <v>28</v>
      </c>
      <c r="KYX30" s="376" t="s">
        <v>984</v>
      </c>
      <c r="KZJ30" s="197" t="s">
        <v>110</v>
      </c>
      <c r="KZK30" s="198"/>
      <c r="KZL30" s="1"/>
      <c r="KZM30" s="195">
        <v>28</v>
      </c>
      <c r="KZN30" s="376" t="s">
        <v>984</v>
      </c>
      <c r="KZZ30" s="197" t="s">
        <v>110</v>
      </c>
      <c r="LAA30" s="198"/>
      <c r="LAB30" s="1"/>
      <c r="LAC30" s="195">
        <v>28</v>
      </c>
      <c r="LAD30" s="376" t="s">
        <v>984</v>
      </c>
      <c r="LAP30" s="197" t="s">
        <v>110</v>
      </c>
      <c r="LAQ30" s="198"/>
      <c r="LAR30" s="1"/>
      <c r="LAS30" s="195">
        <v>28</v>
      </c>
      <c r="LAT30" s="376" t="s">
        <v>984</v>
      </c>
      <c r="LBF30" s="197" t="s">
        <v>110</v>
      </c>
      <c r="LBG30" s="198"/>
      <c r="LBH30" s="1"/>
      <c r="LBI30" s="195">
        <v>28</v>
      </c>
      <c r="LBJ30" s="376" t="s">
        <v>984</v>
      </c>
      <c r="LBV30" s="197" t="s">
        <v>110</v>
      </c>
      <c r="LBW30" s="198"/>
      <c r="LBX30" s="1"/>
      <c r="LBY30" s="195">
        <v>28</v>
      </c>
      <c r="LBZ30" s="376" t="s">
        <v>984</v>
      </c>
      <c r="LCL30" s="197" t="s">
        <v>110</v>
      </c>
      <c r="LCM30" s="198"/>
      <c r="LCN30" s="1"/>
      <c r="LCO30" s="195">
        <v>28</v>
      </c>
      <c r="LCP30" s="376" t="s">
        <v>984</v>
      </c>
      <c r="LDB30" s="197" t="s">
        <v>110</v>
      </c>
      <c r="LDC30" s="198"/>
      <c r="LDD30" s="1"/>
      <c r="LDE30" s="195">
        <v>28</v>
      </c>
      <c r="LDF30" s="376" t="s">
        <v>984</v>
      </c>
      <c r="LDR30" s="197" t="s">
        <v>110</v>
      </c>
      <c r="LDS30" s="198"/>
      <c r="LDT30" s="1"/>
      <c r="LDU30" s="195">
        <v>28</v>
      </c>
      <c r="LDV30" s="376" t="s">
        <v>984</v>
      </c>
      <c r="LEH30" s="197" t="s">
        <v>110</v>
      </c>
      <c r="LEI30" s="198"/>
      <c r="LEJ30" s="1"/>
      <c r="LEK30" s="195">
        <v>28</v>
      </c>
      <c r="LEL30" s="376" t="s">
        <v>984</v>
      </c>
      <c r="LEX30" s="197" t="s">
        <v>110</v>
      </c>
      <c r="LEY30" s="198"/>
      <c r="LEZ30" s="1"/>
      <c r="LFA30" s="195">
        <v>28</v>
      </c>
      <c r="LFB30" s="376" t="s">
        <v>984</v>
      </c>
      <c r="LFN30" s="197" t="s">
        <v>110</v>
      </c>
      <c r="LFO30" s="198"/>
      <c r="LFP30" s="1"/>
      <c r="LFQ30" s="195">
        <v>28</v>
      </c>
      <c r="LFR30" s="376" t="s">
        <v>984</v>
      </c>
      <c r="LGD30" s="197" t="s">
        <v>110</v>
      </c>
      <c r="LGE30" s="198"/>
      <c r="LGF30" s="1"/>
      <c r="LGG30" s="195">
        <v>28</v>
      </c>
      <c r="LGH30" s="376" t="s">
        <v>984</v>
      </c>
      <c r="LGT30" s="197" t="s">
        <v>110</v>
      </c>
      <c r="LGU30" s="198"/>
      <c r="LGV30" s="1"/>
      <c r="LGW30" s="195">
        <v>28</v>
      </c>
      <c r="LGX30" s="376" t="s">
        <v>984</v>
      </c>
      <c r="LHJ30" s="197" t="s">
        <v>110</v>
      </c>
      <c r="LHK30" s="198"/>
      <c r="LHL30" s="1"/>
      <c r="LHM30" s="195">
        <v>28</v>
      </c>
      <c r="LHN30" s="376" t="s">
        <v>984</v>
      </c>
      <c r="LHZ30" s="197" t="s">
        <v>110</v>
      </c>
      <c r="LIA30" s="198"/>
      <c r="LIB30" s="1"/>
      <c r="LIC30" s="195">
        <v>28</v>
      </c>
      <c r="LID30" s="376" t="s">
        <v>984</v>
      </c>
      <c r="LIP30" s="197" t="s">
        <v>110</v>
      </c>
      <c r="LIQ30" s="198"/>
      <c r="LIR30" s="1"/>
      <c r="LIS30" s="195">
        <v>28</v>
      </c>
      <c r="LIT30" s="376" t="s">
        <v>984</v>
      </c>
      <c r="LJF30" s="197" t="s">
        <v>110</v>
      </c>
      <c r="LJG30" s="198"/>
      <c r="LJH30" s="1"/>
      <c r="LJI30" s="195">
        <v>28</v>
      </c>
      <c r="LJJ30" s="376" t="s">
        <v>984</v>
      </c>
      <c r="LJV30" s="197" t="s">
        <v>110</v>
      </c>
      <c r="LJW30" s="198"/>
      <c r="LJX30" s="1"/>
      <c r="LJY30" s="195">
        <v>28</v>
      </c>
      <c r="LJZ30" s="376" t="s">
        <v>984</v>
      </c>
      <c r="LKL30" s="197" t="s">
        <v>110</v>
      </c>
      <c r="LKM30" s="198"/>
      <c r="LKN30" s="1"/>
      <c r="LKO30" s="195">
        <v>28</v>
      </c>
      <c r="LKP30" s="376" t="s">
        <v>984</v>
      </c>
      <c r="LLB30" s="197" t="s">
        <v>110</v>
      </c>
      <c r="LLC30" s="198"/>
      <c r="LLD30" s="1"/>
      <c r="LLE30" s="195">
        <v>28</v>
      </c>
      <c r="LLF30" s="376" t="s">
        <v>984</v>
      </c>
      <c r="LLR30" s="197" t="s">
        <v>110</v>
      </c>
      <c r="LLS30" s="198"/>
      <c r="LLT30" s="1"/>
      <c r="LLU30" s="195">
        <v>28</v>
      </c>
      <c r="LLV30" s="376" t="s">
        <v>984</v>
      </c>
      <c r="LMH30" s="197" t="s">
        <v>110</v>
      </c>
      <c r="LMI30" s="198"/>
      <c r="LMJ30" s="1"/>
      <c r="LMK30" s="195">
        <v>28</v>
      </c>
      <c r="LML30" s="376" t="s">
        <v>984</v>
      </c>
      <c r="LMX30" s="197" t="s">
        <v>110</v>
      </c>
      <c r="LMY30" s="198"/>
      <c r="LMZ30" s="1"/>
      <c r="LNA30" s="195">
        <v>28</v>
      </c>
      <c r="LNB30" s="376" t="s">
        <v>984</v>
      </c>
      <c r="LNN30" s="197" t="s">
        <v>110</v>
      </c>
      <c r="LNO30" s="198"/>
      <c r="LNP30" s="1"/>
      <c r="LNQ30" s="195">
        <v>28</v>
      </c>
      <c r="LNR30" s="376" t="s">
        <v>984</v>
      </c>
      <c r="LOD30" s="197" t="s">
        <v>110</v>
      </c>
      <c r="LOE30" s="198"/>
      <c r="LOF30" s="1"/>
      <c r="LOG30" s="195">
        <v>28</v>
      </c>
      <c r="LOH30" s="376" t="s">
        <v>984</v>
      </c>
      <c r="LOT30" s="197" t="s">
        <v>110</v>
      </c>
      <c r="LOU30" s="198"/>
      <c r="LOV30" s="1"/>
      <c r="LOW30" s="195">
        <v>28</v>
      </c>
      <c r="LOX30" s="376" t="s">
        <v>984</v>
      </c>
      <c r="LPJ30" s="197" t="s">
        <v>110</v>
      </c>
      <c r="LPK30" s="198"/>
      <c r="LPL30" s="1"/>
      <c r="LPM30" s="195">
        <v>28</v>
      </c>
      <c r="LPN30" s="376" t="s">
        <v>984</v>
      </c>
      <c r="LPZ30" s="197" t="s">
        <v>110</v>
      </c>
      <c r="LQA30" s="198"/>
      <c r="LQB30" s="1"/>
      <c r="LQC30" s="195">
        <v>28</v>
      </c>
      <c r="LQD30" s="376" t="s">
        <v>984</v>
      </c>
      <c r="LQP30" s="197" t="s">
        <v>110</v>
      </c>
      <c r="LQQ30" s="198"/>
      <c r="LQR30" s="1"/>
      <c r="LQS30" s="195">
        <v>28</v>
      </c>
      <c r="LQT30" s="376" t="s">
        <v>984</v>
      </c>
      <c r="LRF30" s="197" t="s">
        <v>110</v>
      </c>
      <c r="LRG30" s="198"/>
      <c r="LRH30" s="1"/>
      <c r="LRI30" s="195">
        <v>28</v>
      </c>
      <c r="LRJ30" s="376" t="s">
        <v>984</v>
      </c>
      <c r="LRV30" s="197" t="s">
        <v>110</v>
      </c>
      <c r="LRW30" s="198"/>
      <c r="LRX30" s="1"/>
      <c r="LRY30" s="195">
        <v>28</v>
      </c>
      <c r="LRZ30" s="376" t="s">
        <v>984</v>
      </c>
      <c r="LSL30" s="197" t="s">
        <v>110</v>
      </c>
      <c r="LSM30" s="198"/>
      <c r="LSN30" s="1"/>
      <c r="LSO30" s="195">
        <v>28</v>
      </c>
      <c r="LSP30" s="376" t="s">
        <v>984</v>
      </c>
      <c r="LTB30" s="197" t="s">
        <v>110</v>
      </c>
      <c r="LTC30" s="198"/>
      <c r="LTD30" s="1"/>
      <c r="LTE30" s="195">
        <v>28</v>
      </c>
      <c r="LTF30" s="376" t="s">
        <v>984</v>
      </c>
      <c r="LTR30" s="197" t="s">
        <v>110</v>
      </c>
      <c r="LTS30" s="198"/>
      <c r="LTT30" s="1"/>
      <c r="LTU30" s="195">
        <v>28</v>
      </c>
      <c r="LTV30" s="376" t="s">
        <v>984</v>
      </c>
      <c r="LUH30" s="197" t="s">
        <v>110</v>
      </c>
      <c r="LUI30" s="198"/>
      <c r="LUJ30" s="1"/>
      <c r="LUK30" s="195">
        <v>28</v>
      </c>
      <c r="LUL30" s="376" t="s">
        <v>984</v>
      </c>
      <c r="LUX30" s="197" t="s">
        <v>110</v>
      </c>
      <c r="LUY30" s="198"/>
      <c r="LUZ30" s="1"/>
      <c r="LVA30" s="195">
        <v>28</v>
      </c>
      <c r="LVB30" s="376" t="s">
        <v>984</v>
      </c>
      <c r="LVN30" s="197" t="s">
        <v>110</v>
      </c>
      <c r="LVO30" s="198"/>
      <c r="LVP30" s="1"/>
      <c r="LVQ30" s="195">
        <v>28</v>
      </c>
      <c r="LVR30" s="376" t="s">
        <v>984</v>
      </c>
      <c r="LWD30" s="197" t="s">
        <v>110</v>
      </c>
      <c r="LWE30" s="198"/>
      <c r="LWF30" s="1"/>
      <c r="LWG30" s="195">
        <v>28</v>
      </c>
      <c r="LWH30" s="376" t="s">
        <v>984</v>
      </c>
      <c r="LWT30" s="197" t="s">
        <v>110</v>
      </c>
      <c r="LWU30" s="198"/>
      <c r="LWV30" s="1"/>
      <c r="LWW30" s="195">
        <v>28</v>
      </c>
      <c r="LWX30" s="376" t="s">
        <v>984</v>
      </c>
      <c r="LXJ30" s="197" t="s">
        <v>110</v>
      </c>
      <c r="LXK30" s="198"/>
      <c r="LXL30" s="1"/>
      <c r="LXM30" s="195">
        <v>28</v>
      </c>
      <c r="LXN30" s="376" t="s">
        <v>984</v>
      </c>
      <c r="LXZ30" s="197" t="s">
        <v>110</v>
      </c>
      <c r="LYA30" s="198"/>
      <c r="LYB30" s="1"/>
      <c r="LYC30" s="195">
        <v>28</v>
      </c>
      <c r="LYD30" s="376" t="s">
        <v>984</v>
      </c>
      <c r="LYP30" s="197" t="s">
        <v>110</v>
      </c>
      <c r="LYQ30" s="198"/>
      <c r="LYR30" s="1"/>
      <c r="LYS30" s="195">
        <v>28</v>
      </c>
      <c r="LYT30" s="376" t="s">
        <v>984</v>
      </c>
      <c r="LZF30" s="197" t="s">
        <v>110</v>
      </c>
      <c r="LZG30" s="198"/>
      <c r="LZH30" s="1"/>
      <c r="LZI30" s="195">
        <v>28</v>
      </c>
      <c r="LZJ30" s="376" t="s">
        <v>984</v>
      </c>
      <c r="LZV30" s="197" t="s">
        <v>110</v>
      </c>
      <c r="LZW30" s="198"/>
      <c r="LZX30" s="1"/>
      <c r="LZY30" s="195">
        <v>28</v>
      </c>
      <c r="LZZ30" s="376" t="s">
        <v>984</v>
      </c>
      <c r="MAL30" s="197" t="s">
        <v>110</v>
      </c>
      <c r="MAM30" s="198"/>
      <c r="MAN30" s="1"/>
      <c r="MAO30" s="195">
        <v>28</v>
      </c>
      <c r="MAP30" s="376" t="s">
        <v>984</v>
      </c>
      <c r="MBB30" s="197" t="s">
        <v>110</v>
      </c>
      <c r="MBC30" s="198"/>
      <c r="MBD30" s="1"/>
      <c r="MBE30" s="195">
        <v>28</v>
      </c>
      <c r="MBF30" s="376" t="s">
        <v>984</v>
      </c>
      <c r="MBR30" s="197" t="s">
        <v>110</v>
      </c>
      <c r="MBS30" s="198"/>
      <c r="MBT30" s="1"/>
      <c r="MBU30" s="195">
        <v>28</v>
      </c>
      <c r="MBV30" s="376" t="s">
        <v>984</v>
      </c>
      <c r="MCH30" s="197" t="s">
        <v>110</v>
      </c>
      <c r="MCI30" s="198"/>
      <c r="MCJ30" s="1"/>
      <c r="MCK30" s="195">
        <v>28</v>
      </c>
      <c r="MCL30" s="376" t="s">
        <v>984</v>
      </c>
      <c r="MCX30" s="197" t="s">
        <v>110</v>
      </c>
      <c r="MCY30" s="198"/>
      <c r="MCZ30" s="1"/>
      <c r="MDA30" s="195">
        <v>28</v>
      </c>
      <c r="MDB30" s="376" t="s">
        <v>984</v>
      </c>
      <c r="MDN30" s="197" t="s">
        <v>110</v>
      </c>
      <c r="MDO30" s="198"/>
      <c r="MDP30" s="1"/>
      <c r="MDQ30" s="195">
        <v>28</v>
      </c>
      <c r="MDR30" s="376" t="s">
        <v>984</v>
      </c>
      <c r="MED30" s="197" t="s">
        <v>110</v>
      </c>
      <c r="MEE30" s="198"/>
      <c r="MEF30" s="1"/>
      <c r="MEG30" s="195">
        <v>28</v>
      </c>
      <c r="MEH30" s="376" t="s">
        <v>984</v>
      </c>
      <c r="MET30" s="197" t="s">
        <v>110</v>
      </c>
      <c r="MEU30" s="198"/>
      <c r="MEV30" s="1"/>
      <c r="MEW30" s="195">
        <v>28</v>
      </c>
      <c r="MEX30" s="376" t="s">
        <v>984</v>
      </c>
      <c r="MFJ30" s="197" t="s">
        <v>110</v>
      </c>
      <c r="MFK30" s="198"/>
      <c r="MFL30" s="1"/>
      <c r="MFM30" s="195">
        <v>28</v>
      </c>
      <c r="MFN30" s="376" t="s">
        <v>984</v>
      </c>
      <c r="MFZ30" s="197" t="s">
        <v>110</v>
      </c>
      <c r="MGA30" s="198"/>
      <c r="MGB30" s="1"/>
      <c r="MGC30" s="195">
        <v>28</v>
      </c>
      <c r="MGD30" s="376" t="s">
        <v>984</v>
      </c>
      <c r="MGP30" s="197" t="s">
        <v>110</v>
      </c>
      <c r="MGQ30" s="198"/>
      <c r="MGR30" s="1"/>
      <c r="MGS30" s="195">
        <v>28</v>
      </c>
      <c r="MGT30" s="376" t="s">
        <v>984</v>
      </c>
      <c r="MHF30" s="197" t="s">
        <v>110</v>
      </c>
      <c r="MHG30" s="198"/>
      <c r="MHH30" s="1"/>
      <c r="MHI30" s="195">
        <v>28</v>
      </c>
      <c r="MHJ30" s="376" t="s">
        <v>984</v>
      </c>
      <c r="MHV30" s="197" t="s">
        <v>110</v>
      </c>
      <c r="MHW30" s="198"/>
      <c r="MHX30" s="1"/>
      <c r="MHY30" s="195">
        <v>28</v>
      </c>
      <c r="MHZ30" s="376" t="s">
        <v>984</v>
      </c>
      <c r="MIL30" s="197" t="s">
        <v>110</v>
      </c>
      <c r="MIM30" s="198"/>
      <c r="MIN30" s="1"/>
      <c r="MIO30" s="195">
        <v>28</v>
      </c>
      <c r="MIP30" s="376" t="s">
        <v>984</v>
      </c>
      <c r="MJB30" s="197" t="s">
        <v>110</v>
      </c>
      <c r="MJC30" s="198"/>
      <c r="MJD30" s="1"/>
      <c r="MJE30" s="195">
        <v>28</v>
      </c>
      <c r="MJF30" s="376" t="s">
        <v>984</v>
      </c>
      <c r="MJR30" s="197" t="s">
        <v>110</v>
      </c>
      <c r="MJS30" s="198"/>
      <c r="MJT30" s="1"/>
      <c r="MJU30" s="195">
        <v>28</v>
      </c>
      <c r="MJV30" s="376" t="s">
        <v>984</v>
      </c>
      <c r="MKH30" s="197" t="s">
        <v>110</v>
      </c>
      <c r="MKI30" s="198"/>
      <c r="MKJ30" s="1"/>
      <c r="MKK30" s="195">
        <v>28</v>
      </c>
      <c r="MKL30" s="376" t="s">
        <v>984</v>
      </c>
      <c r="MKX30" s="197" t="s">
        <v>110</v>
      </c>
      <c r="MKY30" s="198"/>
      <c r="MKZ30" s="1"/>
      <c r="MLA30" s="195">
        <v>28</v>
      </c>
      <c r="MLB30" s="376" t="s">
        <v>984</v>
      </c>
      <c r="MLN30" s="197" t="s">
        <v>110</v>
      </c>
      <c r="MLO30" s="198"/>
      <c r="MLP30" s="1"/>
      <c r="MLQ30" s="195">
        <v>28</v>
      </c>
      <c r="MLR30" s="376" t="s">
        <v>984</v>
      </c>
      <c r="MMD30" s="197" t="s">
        <v>110</v>
      </c>
      <c r="MME30" s="198"/>
      <c r="MMF30" s="1"/>
      <c r="MMG30" s="195">
        <v>28</v>
      </c>
      <c r="MMH30" s="376" t="s">
        <v>984</v>
      </c>
      <c r="MMT30" s="197" t="s">
        <v>110</v>
      </c>
      <c r="MMU30" s="198"/>
      <c r="MMV30" s="1"/>
      <c r="MMW30" s="195">
        <v>28</v>
      </c>
      <c r="MMX30" s="376" t="s">
        <v>984</v>
      </c>
      <c r="MNJ30" s="197" t="s">
        <v>110</v>
      </c>
      <c r="MNK30" s="198"/>
      <c r="MNL30" s="1"/>
      <c r="MNM30" s="195">
        <v>28</v>
      </c>
      <c r="MNN30" s="376" t="s">
        <v>984</v>
      </c>
      <c r="MNZ30" s="197" t="s">
        <v>110</v>
      </c>
      <c r="MOA30" s="198"/>
      <c r="MOB30" s="1"/>
      <c r="MOC30" s="195">
        <v>28</v>
      </c>
      <c r="MOD30" s="376" t="s">
        <v>984</v>
      </c>
      <c r="MOP30" s="197" t="s">
        <v>110</v>
      </c>
      <c r="MOQ30" s="198"/>
      <c r="MOR30" s="1"/>
      <c r="MOS30" s="195">
        <v>28</v>
      </c>
      <c r="MOT30" s="376" t="s">
        <v>984</v>
      </c>
      <c r="MPF30" s="197" t="s">
        <v>110</v>
      </c>
      <c r="MPG30" s="198"/>
      <c r="MPH30" s="1"/>
      <c r="MPI30" s="195">
        <v>28</v>
      </c>
      <c r="MPJ30" s="376" t="s">
        <v>984</v>
      </c>
      <c r="MPV30" s="197" t="s">
        <v>110</v>
      </c>
      <c r="MPW30" s="198"/>
      <c r="MPX30" s="1"/>
      <c r="MPY30" s="195">
        <v>28</v>
      </c>
      <c r="MPZ30" s="376" t="s">
        <v>984</v>
      </c>
      <c r="MQL30" s="197" t="s">
        <v>110</v>
      </c>
      <c r="MQM30" s="198"/>
      <c r="MQN30" s="1"/>
      <c r="MQO30" s="195">
        <v>28</v>
      </c>
      <c r="MQP30" s="376" t="s">
        <v>984</v>
      </c>
      <c r="MRB30" s="197" t="s">
        <v>110</v>
      </c>
      <c r="MRC30" s="198"/>
      <c r="MRD30" s="1"/>
      <c r="MRE30" s="195">
        <v>28</v>
      </c>
      <c r="MRF30" s="376" t="s">
        <v>984</v>
      </c>
      <c r="MRR30" s="197" t="s">
        <v>110</v>
      </c>
      <c r="MRS30" s="198"/>
      <c r="MRT30" s="1"/>
      <c r="MRU30" s="195">
        <v>28</v>
      </c>
      <c r="MRV30" s="376" t="s">
        <v>984</v>
      </c>
      <c r="MSH30" s="197" t="s">
        <v>110</v>
      </c>
      <c r="MSI30" s="198"/>
      <c r="MSJ30" s="1"/>
      <c r="MSK30" s="195">
        <v>28</v>
      </c>
      <c r="MSL30" s="376" t="s">
        <v>984</v>
      </c>
      <c r="MSX30" s="197" t="s">
        <v>110</v>
      </c>
      <c r="MSY30" s="198"/>
      <c r="MSZ30" s="1"/>
      <c r="MTA30" s="195">
        <v>28</v>
      </c>
      <c r="MTB30" s="376" t="s">
        <v>984</v>
      </c>
      <c r="MTN30" s="197" t="s">
        <v>110</v>
      </c>
      <c r="MTO30" s="198"/>
      <c r="MTP30" s="1"/>
      <c r="MTQ30" s="195">
        <v>28</v>
      </c>
      <c r="MTR30" s="376" t="s">
        <v>984</v>
      </c>
      <c r="MUD30" s="197" t="s">
        <v>110</v>
      </c>
      <c r="MUE30" s="198"/>
      <c r="MUF30" s="1"/>
      <c r="MUG30" s="195">
        <v>28</v>
      </c>
      <c r="MUH30" s="376" t="s">
        <v>984</v>
      </c>
      <c r="MUT30" s="197" t="s">
        <v>110</v>
      </c>
      <c r="MUU30" s="198"/>
      <c r="MUV30" s="1"/>
      <c r="MUW30" s="195">
        <v>28</v>
      </c>
      <c r="MUX30" s="376" t="s">
        <v>984</v>
      </c>
      <c r="MVJ30" s="197" t="s">
        <v>110</v>
      </c>
      <c r="MVK30" s="198"/>
      <c r="MVL30" s="1"/>
      <c r="MVM30" s="195">
        <v>28</v>
      </c>
      <c r="MVN30" s="376" t="s">
        <v>984</v>
      </c>
      <c r="MVZ30" s="197" t="s">
        <v>110</v>
      </c>
      <c r="MWA30" s="198"/>
      <c r="MWB30" s="1"/>
      <c r="MWC30" s="195">
        <v>28</v>
      </c>
      <c r="MWD30" s="376" t="s">
        <v>984</v>
      </c>
      <c r="MWP30" s="197" t="s">
        <v>110</v>
      </c>
      <c r="MWQ30" s="198"/>
      <c r="MWR30" s="1"/>
      <c r="MWS30" s="195">
        <v>28</v>
      </c>
      <c r="MWT30" s="376" t="s">
        <v>984</v>
      </c>
      <c r="MXF30" s="197" t="s">
        <v>110</v>
      </c>
      <c r="MXG30" s="198"/>
      <c r="MXH30" s="1"/>
      <c r="MXI30" s="195">
        <v>28</v>
      </c>
      <c r="MXJ30" s="376" t="s">
        <v>984</v>
      </c>
      <c r="MXV30" s="197" t="s">
        <v>110</v>
      </c>
      <c r="MXW30" s="198"/>
      <c r="MXX30" s="1"/>
      <c r="MXY30" s="195">
        <v>28</v>
      </c>
      <c r="MXZ30" s="376" t="s">
        <v>984</v>
      </c>
      <c r="MYL30" s="197" t="s">
        <v>110</v>
      </c>
      <c r="MYM30" s="198"/>
      <c r="MYN30" s="1"/>
      <c r="MYO30" s="195">
        <v>28</v>
      </c>
      <c r="MYP30" s="376" t="s">
        <v>984</v>
      </c>
      <c r="MZB30" s="197" t="s">
        <v>110</v>
      </c>
      <c r="MZC30" s="198"/>
      <c r="MZD30" s="1"/>
      <c r="MZE30" s="195">
        <v>28</v>
      </c>
      <c r="MZF30" s="376" t="s">
        <v>984</v>
      </c>
      <c r="MZR30" s="197" t="s">
        <v>110</v>
      </c>
      <c r="MZS30" s="198"/>
      <c r="MZT30" s="1"/>
      <c r="MZU30" s="195">
        <v>28</v>
      </c>
      <c r="MZV30" s="376" t="s">
        <v>984</v>
      </c>
      <c r="NAH30" s="197" t="s">
        <v>110</v>
      </c>
      <c r="NAI30" s="198"/>
      <c r="NAJ30" s="1"/>
      <c r="NAK30" s="195">
        <v>28</v>
      </c>
      <c r="NAL30" s="376" t="s">
        <v>984</v>
      </c>
      <c r="NAX30" s="197" t="s">
        <v>110</v>
      </c>
      <c r="NAY30" s="198"/>
      <c r="NAZ30" s="1"/>
      <c r="NBA30" s="195">
        <v>28</v>
      </c>
      <c r="NBB30" s="376" t="s">
        <v>984</v>
      </c>
      <c r="NBN30" s="197" t="s">
        <v>110</v>
      </c>
      <c r="NBO30" s="198"/>
      <c r="NBP30" s="1"/>
      <c r="NBQ30" s="195">
        <v>28</v>
      </c>
      <c r="NBR30" s="376" t="s">
        <v>984</v>
      </c>
      <c r="NCD30" s="197" t="s">
        <v>110</v>
      </c>
      <c r="NCE30" s="198"/>
      <c r="NCF30" s="1"/>
      <c r="NCG30" s="195">
        <v>28</v>
      </c>
      <c r="NCH30" s="376" t="s">
        <v>984</v>
      </c>
      <c r="NCT30" s="197" t="s">
        <v>110</v>
      </c>
      <c r="NCU30" s="198"/>
      <c r="NCV30" s="1"/>
      <c r="NCW30" s="195">
        <v>28</v>
      </c>
      <c r="NCX30" s="376" t="s">
        <v>984</v>
      </c>
      <c r="NDJ30" s="197" t="s">
        <v>110</v>
      </c>
      <c r="NDK30" s="198"/>
      <c r="NDL30" s="1"/>
      <c r="NDM30" s="195">
        <v>28</v>
      </c>
      <c r="NDN30" s="376" t="s">
        <v>984</v>
      </c>
      <c r="NDZ30" s="197" t="s">
        <v>110</v>
      </c>
      <c r="NEA30" s="198"/>
      <c r="NEB30" s="1"/>
      <c r="NEC30" s="195">
        <v>28</v>
      </c>
      <c r="NED30" s="376" t="s">
        <v>984</v>
      </c>
      <c r="NEP30" s="197" t="s">
        <v>110</v>
      </c>
      <c r="NEQ30" s="198"/>
      <c r="NER30" s="1"/>
      <c r="NES30" s="195">
        <v>28</v>
      </c>
      <c r="NET30" s="376" t="s">
        <v>984</v>
      </c>
      <c r="NFF30" s="197" t="s">
        <v>110</v>
      </c>
      <c r="NFG30" s="198"/>
      <c r="NFH30" s="1"/>
      <c r="NFI30" s="195">
        <v>28</v>
      </c>
      <c r="NFJ30" s="376" t="s">
        <v>984</v>
      </c>
      <c r="NFV30" s="197" t="s">
        <v>110</v>
      </c>
      <c r="NFW30" s="198"/>
      <c r="NFX30" s="1"/>
      <c r="NFY30" s="195">
        <v>28</v>
      </c>
      <c r="NFZ30" s="376" t="s">
        <v>984</v>
      </c>
      <c r="NGL30" s="197" t="s">
        <v>110</v>
      </c>
      <c r="NGM30" s="198"/>
      <c r="NGN30" s="1"/>
      <c r="NGO30" s="195">
        <v>28</v>
      </c>
      <c r="NGP30" s="376" t="s">
        <v>984</v>
      </c>
      <c r="NHB30" s="197" t="s">
        <v>110</v>
      </c>
      <c r="NHC30" s="198"/>
      <c r="NHD30" s="1"/>
      <c r="NHE30" s="195">
        <v>28</v>
      </c>
      <c r="NHF30" s="376" t="s">
        <v>984</v>
      </c>
      <c r="NHR30" s="197" t="s">
        <v>110</v>
      </c>
      <c r="NHS30" s="198"/>
      <c r="NHT30" s="1"/>
      <c r="NHU30" s="195">
        <v>28</v>
      </c>
      <c r="NHV30" s="376" t="s">
        <v>984</v>
      </c>
      <c r="NIH30" s="197" t="s">
        <v>110</v>
      </c>
      <c r="NII30" s="198"/>
      <c r="NIJ30" s="1"/>
      <c r="NIK30" s="195">
        <v>28</v>
      </c>
      <c r="NIL30" s="376" t="s">
        <v>984</v>
      </c>
      <c r="NIX30" s="197" t="s">
        <v>110</v>
      </c>
      <c r="NIY30" s="198"/>
      <c r="NIZ30" s="1"/>
      <c r="NJA30" s="195">
        <v>28</v>
      </c>
      <c r="NJB30" s="376" t="s">
        <v>984</v>
      </c>
      <c r="NJN30" s="197" t="s">
        <v>110</v>
      </c>
      <c r="NJO30" s="198"/>
      <c r="NJP30" s="1"/>
      <c r="NJQ30" s="195">
        <v>28</v>
      </c>
      <c r="NJR30" s="376" t="s">
        <v>984</v>
      </c>
      <c r="NKD30" s="197" t="s">
        <v>110</v>
      </c>
      <c r="NKE30" s="198"/>
      <c r="NKF30" s="1"/>
      <c r="NKG30" s="195">
        <v>28</v>
      </c>
      <c r="NKH30" s="376" t="s">
        <v>984</v>
      </c>
      <c r="NKT30" s="197" t="s">
        <v>110</v>
      </c>
      <c r="NKU30" s="198"/>
      <c r="NKV30" s="1"/>
      <c r="NKW30" s="195">
        <v>28</v>
      </c>
      <c r="NKX30" s="376" t="s">
        <v>984</v>
      </c>
      <c r="NLJ30" s="197" t="s">
        <v>110</v>
      </c>
      <c r="NLK30" s="198"/>
      <c r="NLL30" s="1"/>
      <c r="NLM30" s="195">
        <v>28</v>
      </c>
      <c r="NLN30" s="376" t="s">
        <v>984</v>
      </c>
      <c r="NLZ30" s="197" t="s">
        <v>110</v>
      </c>
      <c r="NMA30" s="198"/>
      <c r="NMB30" s="1"/>
      <c r="NMC30" s="195">
        <v>28</v>
      </c>
      <c r="NMD30" s="376" t="s">
        <v>984</v>
      </c>
      <c r="NMP30" s="197" t="s">
        <v>110</v>
      </c>
      <c r="NMQ30" s="198"/>
      <c r="NMR30" s="1"/>
      <c r="NMS30" s="195">
        <v>28</v>
      </c>
      <c r="NMT30" s="376" t="s">
        <v>984</v>
      </c>
      <c r="NNF30" s="197" t="s">
        <v>110</v>
      </c>
      <c r="NNG30" s="198"/>
      <c r="NNH30" s="1"/>
      <c r="NNI30" s="195">
        <v>28</v>
      </c>
      <c r="NNJ30" s="376" t="s">
        <v>984</v>
      </c>
      <c r="NNV30" s="197" t="s">
        <v>110</v>
      </c>
      <c r="NNW30" s="198"/>
      <c r="NNX30" s="1"/>
      <c r="NNY30" s="195">
        <v>28</v>
      </c>
      <c r="NNZ30" s="376" t="s">
        <v>984</v>
      </c>
      <c r="NOL30" s="197" t="s">
        <v>110</v>
      </c>
      <c r="NOM30" s="198"/>
      <c r="NON30" s="1"/>
      <c r="NOO30" s="195">
        <v>28</v>
      </c>
      <c r="NOP30" s="376" t="s">
        <v>984</v>
      </c>
      <c r="NPB30" s="197" t="s">
        <v>110</v>
      </c>
      <c r="NPC30" s="198"/>
      <c r="NPD30" s="1"/>
      <c r="NPE30" s="195">
        <v>28</v>
      </c>
      <c r="NPF30" s="376" t="s">
        <v>984</v>
      </c>
      <c r="NPR30" s="197" t="s">
        <v>110</v>
      </c>
      <c r="NPS30" s="198"/>
      <c r="NPT30" s="1"/>
      <c r="NPU30" s="195">
        <v>28</v>
      </c>
      <c r="NPV30" s="376" t="s">
        <v>984</v>
      </c>
      <c r="NQH30" s="197" t="s">
        <v>110</v>
      </c>
      <c r="NQI30" s="198"/>
      <c r="NQJ30" s="1"/>
      <c r="NQK30" s="195">
        <v>28</v>
      </c>
      <c r="NQL30" s="376" t="s">
        <v>984</v>
      </c>
      <c r="NQX30" s="197" t="s">
        <v>110</v>
      </c>
      <c r="NQY30" s="198"/>
      <c r="NQZ30" s="1"/>
      <c r="NRA30" s="195">
        <v>28</v>
      </c>
      <c r="NRB30" s="376" t="s">
        <v>984</v>
      </c>
      <c r="NRN30" s="197" t="s">
        <v>110</v>
      </c>
      <c r="NRO30" s="198"/>
      <c r="NRP30" s="1"/>
      <c r="NRQ30" s="195">
        <v>28</v>
      </c>
      <c r="NRR30" s="376" t="s">
        <v>984</v>
      </c>
      <c r="NSD30" s="197" t="s">
        <v>110</v>
      </c>
      <c r="NSE30" s="198"/>
      <c r="NSF30" s="1"/>
      <c r="NSG30" s="195">
        <v>28</v>
      </c>
      <c r="NSH30" s="376" t="s">
        <v>984</v>
      </c>
      <c r="NST30" s="197" t="s">
        <v>110</v>
      </c>
      <c r="NSU30" s="198"/>
      <c r="NSV30" s="1"/>
      <c r="NSW30" s="195">
        <v>28</v>
      </c>
      <c r="NSX30" s="376" t="s">
        <v>984</v>
      </c>
      <c r="NTJ30" s="197" t="s">
        <v>110</v>
      </c>
      <c r="NTK30" s="198"/>
      <c r="NTL30" s="1"/>
      <c r="NTM30" s="195">
        <v>28</v>
      </c>
      <c r="NTN30" s="376" t="s">
        <v>984</v>
      </c>
      <c r="NTZ30" s="197" t="s">
        <v>110</v>
      </c>
      <c r="NUA30" s="198"/>
      <c r="NUB30" s="1"/>
      <c r="NUC30" s="195">
        <v>28</v>
      </c>
      <c r="NUD30" s="376" t="s">
        <v>984</v>
      </c>
      <c r="NUP30" s="197" t="s">
        <v>110</v>
      </c>
      <c r="NUQ30" s="198"/>
      <c r="NUR30" s="1"/>
      <c r="NUS30" s="195">
        <v>28</v>
      </c>
      <c r="NUT30" s="376" t="s">
        <v>984</v>
      </c>
      <c r="NVF30" s="197" t="s">
        <v>110</v>
      </c>
      <c r="NVG30" s="198"/>
      <c r="NVH30" s="1"/>
      <c r="NVI30" s="195">
        <v>28</v>
      </c>
      <c r="NVJ30" s="376" t="s">
        <v>984</v>
      </c>
      <c r="NVV30" s="197" t="s">
        <v>110</v>
      </c>
      <c r="NVW30" s="198"/>
      <c r="NVX30" s="1"/>
      <c r="NVY30" s="195">
        <v>28</v>
      </c>
      <c r="NVZ30" s="376" t="s">
        <v>984</v>
      </c>
      <c r="NWL30" s="197" t="s">
        <v>110</v>
      </c>
      <c r="NWM30" s="198"/>
      <c r="NWN30" s="1"/>
      <c r="NWO30" s="195">
        <v>28</v>
      </c>
      <c r="NWP30" s="376" t="s">
        <v>984</v>
      </c>
      <c r="NXB30" s="197" t="s">
        <v>110</v>
      </c>
      <c r="NXC30" s="198"/>
      <c r="NXD30" s="1"/>
      <c r="NXE30" s="195">
        <v>28</v>
      </c>
      <c r="NXF30" s="376" t="s">
        <v>984</v>
      </c>
      <c r="NXR30" s="197" t="s">
        <v>110</v>
      </c>
      <c r="NXS30" s="198"/>
      <c r="NXT30" s="1"/>
      <c r="NXU30" s="195">
        <v>28</v>
      </c>
      <c r="NXV30" s="376" t="s">
        <v>984</v>
      </c>
      <c r="NYH30" s="197" t="s">
        <v>110</v>
      </c>
      <c r="NYI30" s="198"/>
      <c r="NYJ30" s="1"/>
      <c r="NYK30" s="195">
        <v>28</v>
      </c>
      <c r="NYL30" s="376" t="s">
        <v>984</v>
      </c>
      <c r="NYX30" s="197" t="s">
        <v>110</v>
      </c>
      <c r="NYY30" s="198"/>
      <c r="NYZ30" s="1"/>
      <c r="NZA30" s="195">
        <v>28</v>
      </c>
      <c r="NZB30" s="376" t="s">
        <v>984</v>
      </c>
      <c r="NZN30" s="197" t="s">
        <v>110</v>
      </c>
      <c r="NZO30" s="198"/>
      <c r="NZP30" s="1"/>
      <c r="NZQ30" s="195">
        <v>28</v>
      </c>
      <c r="NZR30" s="376" t="s">
        <v>984</v>
      </c>
      <c r="OAD30" s="197" t="s">
        <v>110</v>
      </c>
      <c r="OAE30" s="198"/>
      <c r="OAF30" s="1"/>
      <c r="OAG30" s="195">
        <v>28</v>
      </c>
      <c r="OAH30" s="376" t="s">
        <v>984</v>
      </c>
      <c r="OAT30" s="197" t="s">
        <v>110</v>
      </c>
      <c r="OAU30" s="198"/>
      <c r="OAV30" s="1"/>
      <c r="OAW30" s="195">
        <v>28</v>
      </c>
      <c r="OAX30" s="376" t="s">
        <v>984</v>
      </c>
      <c r="OBJ30" s="197" t="s">
        <v>110</v>
      </c>
      <c r="OBK30" s="198"/>
      <c r="OBL30" s="1"/>
      <c r="OBM30" s="195">
        <v>28</v>
      </c>
      <c r="OBN30" s="376" t="s">
        <v>984</v>
      </c>
      <c r="OBZ30" s="197" t="s">
        <v>110</v>
      </c>
      <c r="OCA30" s="198"/>
      <c r="OCB30" s="1"/>
      <c r="OCC30" s="195">
        <v>28</v>
      </c>
      <c r="OCD30" s="376" t="s">
        <v>984</v>
      </c>
      <c r="OCP30" s="197" t="s">
        <v>110</v>
      </c>
      <c r="OCQ30" s="198"/>
      <c r="OCR30" s="1"/>
      <c r="OCS30" s="195">
        <v>28</v>
      </c>
      <c r="OCT30" s="376" t="s">
        <v>984</v>
      </c>
      <c r="ODF30" s="197" t="s">
        <v>110</v>
      </c>
      <c r="ODG30" s="198"/>
      <c r="ODH30" s="1"/>
      <c r="ODI30" s="195">
        <v>28</v>
      </c>
      <c r="ODJ30" s="376" t="s">
        <v>984</v>
      </c>
      <c r="ODV30" s="197" t="s">
        <v>110</v>
      </c>
      <c r="ODW30" s="198"/>
      <c r="ODX30" s="1"/>
      <c r="ODY30" s="195">
        <v>28</v>
      </c>
      <c r="ODZ30" s="376" t="s">
        <v>984</v>
      </c>
      <c r="OEL30" s="197" t="s">
        <v>110</v>
      </c>
      <c r="OEM30" s="198"/>
      <c r="OEN30" s="1"/>
      <c r="OEO30" s="195">
        <v>28</v>
      </c>
      <c r="OEP30" s="376" t="s">
        <v>984</v>
      </c>
      <c r="OFB30" s="197" t="s">
        <v>110</v>
      </c>
      <c r="OFC30" s="198"/>
      <c r="OFD30" s="1"/>
      <c r="OFE30" s="195">
        <v>28</v>
      </c>
      <c r="OFF30" s="376" t="s">
        <v>984</v>
      </c>
      <c r="OFR30" s="197" t="s">
        <v>110</v>
      </c>
      <c r="OFS30" s="198"/>
      <c r="OFT30" s="1"/>
      <c r="OFU30" s="195">
        <v>28</v>
      </c>
      <c r="OFV30" s="376" t="s">
        <v>984</v>
      </c>
      <c r="OGH30" s="197" t="s">
        <v>110</v>
      </c>
      <c r="OGI30" s="198"/>
      <c r="OGJ30" s="1"/>
      <c r="OGK30" s="195">
        <v>28</v>
      </c>
      <c r="OGL30" s="376" t="s">
        <v>984</v>
      </c>
      <c r="OGX30" s="197" t="s">
        <v>110</v>
      </c>
      <c r="OGY30" s="198"/>
      <c r="OGZ30" s="1"/>
      <c r="OHA30" s="195">
        <v>28</v>
      </c>
      <c r="OHB30" s="376" t="s">
        <v>984</v>
      </c>
      <c r="OHN30" s="197" t="s">
        <v>110</v>
      </c>
      <c r="OHO30" s="198"/>
      <c r="OHP30" s="1"/>
      <c r="OHQ30" s="195">
        <v>28</v>
      </c>
      <c r="OHR30" s="376" t="s">
        <v>984</v>
      </c>
      <c r="OID30" s="197" t="s">
        <v>110</v>
      </c>
      <c r="OIE30" s="198"/>
      <c r="OIF30" s="1"/>
      <c r="OIG30" s="195">
        <v>28</v>
      </c>
      <c r="OIH30" s="376" t="s">
        <v>984</v>
      </c>
      <c r="OIT30" s="197" t="s">
        <v>110</v>
      </c>
      <c r="OIU30" s="198"/>
      <c r="OIV30" s="1"/>
      <c r="OIW30" s="195">
        <v>28</v>
      </c>
      <c r="OIX30" s="376" t="s">
        <v>984</v>
      </c>
      <c r="OJJ30" s="197" t="s">
        <v>110</v>
      </c>
      <c r="OJK30" s="198"/>
      <c r="OJL30" s="1"/>
      <c r="OJM30" s="195">
        <v>28</v>
      </c>
      <c r="OJN30" s="376" t="s">
        <v>984</v>
      </c>
      <c r="OJZ30" s="197" t="s">
        <v>110</v>
      </c>
      <c r="OKA30" s="198"/>
      <c r="OKB30" s="1"/>
      <c r="OKC30" s="195">
        <v>28</v>
      </c>
      <c r="OKD30" s="376" t="s">
        <v>984</v>
      </c>
      <c r="OKP30" s="197" t="s">
        <v>110</v>
      </c>
      <c r="OKQ30" s="198"/>
      <c r="OKR30" s="1"/>
      <c r="OKS30" s="195">
        <v>28</v>
      </c>
      <c r="OKT30" s="376" t="s">
        <v>984</v>
      </c>
      <c r="OLF30" s="197" t="s">
        <v>110</v>
      </c>
      <c r="OLG30" s="198"/>
      <c r="OLH30" s="1"/>
      <c r="OLI30" s="195">
        <v>28</v>
      </c>
      <c r="OLJ30" s="376" t="s">
        <v>984</v>
      </c>
      <c r="OLV30" s="197" t="s">
        <v>110</v>
      </c>
      <c r="OLW30" s="198"/>
      <c r="OLX30" s="1"/>
      <c r="OLY30" s="195">
        <v>28</v>
      </c>
      <c r="OLZ30" s="376" t="s">
        <v>984</v>
      </c>
      <c r="OML30" s="197" t="s">
        <v>110</v>
      </c>
      <c r="OMM30" s="198"/>
      <c r="OMN30" s="1"/>
      <c r="OMO30" s="195">
        <v>28</v>
      </c>
      <c r="OMP30" s="376" t="s">
        <v>984</v>
      </c>
      <c r="ONB30" s="197" t="s">
        <v>110</v>
      </c>
      <c r="ONC30" s="198"/>
      <c r="OND30" s="1"/>
      <c r="ONE30" s="195">
        <v>28</v>
      </c>
      <c r="ONF30" s="376" t="s">
        <v>984</v>
      </c>
      <c r="ONR30" s="197" t="s">
        <v>110</v>
      </c>
      <c r="ONS30" s="198"/>
      <c r="ONT30" s="1"/>
      <c r="ONU30" s="195">
        <v>28</v>
      </c>
      <c r="ONV30" s="376" t="s">
        <v>984</v>
      </c>
      <c r="OOH30" s="197" t="s">
        <v>110</v>
      </c>
      <c r="OOI30" s="198"/>
      <c r="OOJ30" s="1"/>
      <c r="OOK30" s="195">
        <v>28</v>
      </c>
      <c r="OOL30" s="376" t="s">
        <v>984</v>
      </c>
      <c r="OOX30" s="197" t="s">
        <v>110</v>
      </c>
      <c r="OOY30" s="198"/>
      <c r="OOZ30" s="1"/>
      <c r="OPA30" s="195">
        <v>28</v>
      </c>
      <c r="OPB30" s="376" t="s">
        <v>984</v>
      </c>
      <c r="OPN30" s="197" t="s">
        <v>110</v>
      </c>
      <c r="OPO30" s="198"/>
      <c r="OPP30" s="1"/>
      <c r="OPQ30" s="195">
        <v>28</v>
      </c>
      <c r="OPR30" s="376" t="s">
        <v>984</v>
      </c>
      <c r="OQD30" s="197" t="s">
        <v>110</v>
      </c>
      <c r="OQE30" s="198"/>
      <c r="OQF30" s="1"/>
      <c r="OQG30" s="195">
        <v>28</v>
      </c>
      <c r="OQH30" s="376" t="s">
        <v>984</v>
      </c>
      <c r="OQT30" s="197" t="s">
        <v>110</v>
      </c>
      <c r="OQU30" s="198"/>
      <c r="OQV30" s="1"/>
      <c r="OQW30" s="195">
        <v>28</v>
      </c>
      <c r="OQX30" s="376" t="s">
        <v>984</v>
      </c>
      <c r="ORJ30" s="197" t="s">
        <v>110</v>
      </c>
      <c r="ORK30" s="198"/>
      <c r="ORL30" s="1"/>
      <c r="ORM30" s="195">
        <v>28</v>
      </c>
      <c r="ORN30" s="376" t="s">
        <v>984</v>
      </c>
      <c r="ORZ30" s="197" t="s">
        <v>110</v>
      </c>
      <c r="OSA30" s="198"/>
      <c r="OSB30" s="1"/>
      <c r="OSC30" s="195">
        <v>28</v>
      </c>
      <c r="OSD30" s="376" t="s">
        <v>984</v>
      </c>
      <c r="OSP30" s="197" t="s">
        <v>110</v>
      </c>
      <c r="OSQ30" s="198"/>
      <c r="OSR30" s="1"/>
      <c r="OSS30" s="195">
        <v>28</v>
      </c>
      <c r="OST30" s="376" t="s">
        <v>984</v>
      </c>
      <c r="OTF30" s="197" t="s">
        <v>110</v>
      </c>
      <c r="OTG30" s="198"/>
      <c r="OTH30" s="1"/>
      <c r="OTI30" s="195">
        <v>28</v>
      </c>
      <c r="OTJ30" s="376" t="s">
        <v>984</v>
      </c>
      <c r="OTV30" s="197" t="s">
        <v>110</v>
      </c>
      <c r="OTW30" s="198"/>
      <c r="OTX30" s="1"/>
      <c r="OTY30" s="195">
        <v>28</v>
      </c>
      <c r="OTZ30" s="376" t="s">
        <v>984</v>
      </c>
      <c r="OUL30" s="197" t="s">
        <v>110</v>
      </c>
      <c r="OUM30" s="198"/>
      <c r="OUN30" s="1"/>
      <c r="OUO30" s="195">
        <v>28</v>
      </c>
      <c r="OUP30" s="376" t="s">
        <v>984</v>
      </c>
      <c r="OVB30" s="197" t="s">
        <v>110</v>
      </c>
      <c r="OVC30" s="198"/>
      <c r="OVD30" s="1"/>
      <c r="OVE30" s="195">
        <v>28</v>
      </c>
      <c r="OVF30" s="376" t="s">
        <v>984</v>
      </c>
      <c r="OVR30" s="197" t="s">
        <v>110</v>
      </c>
      <c r="OVS30" s="198"/>
      <c r="OVT30" s="1"/>
      <c r="OVU30" s="195">
        <v>28</v>
      </c>
      <c r="OVV30" s="376" t="s">
        <v>984</v>
      </c>
      <c r="OWH30" s="197" t="s">
        <v>110</v>
      </c>
      <c r="OWI30" s="198"/>
      <c r="OWJ30" s="1"/>
      <c r="OWK30" s="195">
        <v>28</v>
      </c>
      <c r="OWL30" s="376" t="s">
        <v>984</v>
      </c>
      <c r="OWX30" s="197" t="s">
        <v>110</v>
      </c>
      <c r="OWY30" s="198"/>
      <c r="OWZ30" s="1"/>
      <c r="OXA30" s="195">
        <v>28</v>
      </c>
      <c r="OXB30" s="376" t="s">
        <v>984</v>
      </c>
      <c r="OXN30" s="197" t="s">
        <v>110</v>
      </c>
      <c r="OXO30" s="198"/>
      <c r="OXP30" s="1"/>
      <c r="OXQ30" s="195">
        <v>28</v>
      </c>
      <c r="OXR30" s="376" t="s">
        <v>984</v>
      </c>
      <c r="OYD30" s="197" t="s">
        <v>110</v>
      </c>
      <c r="OYE30" s="198"/>
      <c r="OYF30" s="1"/>
      <c r="OYG30" s="195">
        <v>28</v>
      </c>
      <c r="OYH30" s="376" t="s">
        <v>984</v>
      </c>
      <c r="OYT30" s="197" t="s">
        <v>110</v>
      </c>
      <c r="OYU30" s="198"/>
      <c r="OYV30" s="1"/>
      <c r="OYW30" s="195">
        <v>28</v>
      </c>
      <c r="OYX30" s="376" t="s">
        <v>984</v>
      </c>
      <c r="OZJ30" s="197" t="s">
        <v>110</v>
      </c>
      <c r="OZK30" s="198"/>
      <c r="OZL30" s="1"/>
      <c r="OZM30" s="195">
        <v>28</v>
      </c>
      <c r="OZN30" s="376" t="s">
        <v>984</v>
      </c>
      <c r="OZZ30" s="197" t="s">
        <v>110</v>
      </c>
      <c r="PAA30" s="198"/>
      <c r="PAB30" s="1"/>
      <c r="PAC30" s="195">
        <v>28</v>
      </c>
      <c r="PAD30" s="376" t="s">
        <v>984</v>
      </c>
      <c r="PAP30" s="197" t="s">
        <v>110</v>
      </c>
      <c r="PAQ30" s="198"/>
      <c r="PAR30" s="1"/>
      <c r="PAS30" s="195">
        <v>28</v>
      </c>
      <c r="PAT30" s="376" t="s">
        <v>984</v>
      </c>
      <c r="PBF30" s="197" t="s">
        <v>110</v>
      </c>
      <c r="PBG30" s="198"/>
      <c r="PBH30" s="1"/>
      <c r="PBI30" s="195">
        <v>28</v>
      </c>
      <c r="PBJ30" s="376" t="s">
        <v>984</v>
      </c>
      <c r="PBV30" s="197" t="s">
        <v>110</v>
      </c>
      <c r="PBW30" s="198"/>
      <c r="PBX30" s="1"/>
      <c r="PBY30" s="195">
        <v>28</v>
      </c>
      <c r="PBZ30" s="376" t="s">
        <v>984</v>
      </c>
      <c r="PCL30" s="197" t="s">
        <v>110</v>
      </c>
      <c r="PCM30" s="198"/>
      <c r="PCN30" s="1"/>
      <c r="PCO30" s="195">
        <v>28</v>
      </c>
      <c r="PCP30" s="376" t="s">
        <v>984</v>
      </c>
      <c r="PDB30" s="197" t="s">
        <v>110</v>
      </c>
      <c r="PDC30" s="198"/>
      <c r="PDD30" s="1"/>
      <c r="PDE30" s="195">
        <v>28</v>
      </c>
      <c r="PDF30" s="376" t="s">
        <v>984</v>
      </c>
      <c r="PDR30" s="197" t="s">
        <v>110</v>
      </c>
      <c r="PDS30" s="198"/>
      <c r="PDT30" s="1"/>
      <c r="PDU30" s="195">
        <v>28</v>
      </c>
      <c r="PDV30" s="376" t="s">
        <v>984</v>
      </c>
      <c r="PEH30" s="197" t="s">
        <v>110</v>
      </c>
      <c r="PEI30" s="198"/>
      <c r="PEJ30" s="1"/>
      <c r="PEK30" s="195">
        <v>28</v>
      </c>
      <c r="PEL30" s="376" t="s">
        <v>984</v>
      </c>
      <c r="PEX30" s="197" t="s">
        <v>110</v>
      </c>
      <c r="PEY30" s="198"/>
      <c r="PEZ30" s="1"/>
      <c r="PFA30" s="195">
        <v>28</v>
      </c>
      <c r="PFB30" s="376" t="s">
        <v>984</v>
      </c>
      <c r="PFN30" s="197" t="s">
        <v>110</v>
      </c>
      <c r="PFO30" s="198"/>
      <c r="PFP30" s="1"/>
      <c r="PFQ30" s="195">
        <v>28</v>
      </c>
      <c r="PFR30" s="376" t="s">
        <v>984</v>
      </c>
      <c r="PGD30" s="197" t="s">
        <v>110</v>
      </c>
      <c r="PGE30" s="198"/>
      <c r="PGF30" s="1"/>
      <c r="PGG30" s="195">
        <v>28</v>
      </c>
      <c r="PGH30" s="376" t="s">
        <v>984</v>
      </c>
      <c r="PGT30" s="197" t="s">
        <v>110</v>
      </c>
      <c r="PGU30" s="198"/>
      <c r="PGV30" s="1"/>
      <c r="PGW30" s="195">
        <v>28</v>
      </c>
      <c r="PGX30" s="376" t="s">
        <v>984</v>
      </c>
      <c r="PHJ30" s="197" t="s">
        <v>110</v>
      </c>
      <c r="PHK30" s="198"/>
      <c r="PHL30" s="1"/>
      <c r="PHM30" s="195">
        <v>28</v>
      </c>
      <c r="PHN30" s="376" t="s">
        <v>984</v>
      </c>
      <c r="PHZ30" s="197" t="s">
        <v>110</v>
      </c>
      <c r="PIA30" s="198"/>
      <c r="PIB30" s="1"/>
      <c r="PIC30" s="195">
        <v>28</v>
      </c>
      <c r="PID30" s="376" t="s">
        <v>984</v>
      </c>
      <c r="PIP30" s="197" t="s">
        <v>110</v>
      </c>
      <c r="PIQ30" s="198"/>
      <c r="PIR30" s="1"/>
      <c r="PIS30" s="195">
        <v>28</v>
      </c>
      <c r="PIT30" s="376" t="s">
        <v>984</v>
      </c>
      <c r="PJF30" s="197" t="s">
        <v>110</v>
      </c>
      <c r="PJG30" s="198"/>
      <c r="PJH30" s="1"/>
      <c r="PJI30" s="195">
        <v>28</v>
      </c>
      <c r="PJJ30" s="376" t="s">
        <v>984</v>
      </c>
      <c r="PJV30" s="197" t="s">
        <v>110</v>
      </c>
      <c r="PJW30" s="198"/>
      <c r="PJX30" s="1"/>
      <c r="PJY30" s="195">
        <v>28</v>
      </c>
      <c r="PJZ30" s="376" t="s">
        <v>984</v>
      </c>
      <c r="PKL30" s="197" t="s">
        <v>110</v>
      </c>
      <c r="PKM30" s="198"/>
      <c r="PKN30" s="1"/>
      <c r="PKO30" s="195">
        <v>28</v>
      </c>
      <c r="PKP30" s="376" t="s">
        <v>984</v>
      </c>
      <c r="PLB30" s="197" t="s">
        <v>110</v>
      </c>
      <c r="PLC30" s="198"/>
      <c r="PLD30" s="1"/>
      <c r="PLE30" s="195">
        <v>28</v>
      </c>
      <c r="PLF30" s="376" t="s">
        <v>984</v>
      </c>
      <c r="PLR30" s="197" t="s">
        <v>110</v>
      </c>
      <c r="PLS30" s="198"/>
      <c r="PLT30" s="1"/>
      <c r="PLU30" s="195">
        <v>28</v>
      </c>
      <c r="PLV30" s="376" t="s">
        <v>984</v>
      </c>
      <c r="PMH30" s="197" t="s">
        <v>110</v>
      </c>
      <c r="PMI30" s="198"/>
      <c r="PMJ30" s="1"/>
      <c r="PMK30" s="195">
        <v>28</v>
      </c>
      <c r="PML30" s="376" t="s">
        <v>984</v>
      </c>
      <c r="PMX30" s="197" t="s">
        <v>110</v>
      </c>
      <c r="PMY30" s="198"/>
      <c r="PMZ30" s="1"/>
      <c r="PNA30" s="195">
        <v>28</v>
      </c>
      <c r="PNB30" s="376" t="s">
        <v>984</v>
      </c>
      <c r="PNN30" s="197" t="s">
        <v>110</v>
      </c>
      <c r="PNO30" s="198"/>
      <c r="PNP30" s="1"/>
      <c r="PNQ30" s="195">
        <v>28</v>
      </c>
      <c r="PNR30" s="376" t="s">
        <v>984</v>
      </c>
      <c r="POD30" s="197" t="s">
        <v>110</v>
      </c>
      <c r="POE30" s="198"/>
      <c r="POF30" s="1"/>
      <c r="POG30" s="195">
        <v>28</v>
      </c>
      <c r="POH30" s="376" t="s">
        <v>984</v>
      </c>
      <c r="POT30" s="197" t="s">
        <v>110</v>
      </c>
      <c r="POU30" s="198"/>
      <c r="POV30" s="1"/>
      <c r="POW30" s="195">
        <v>28</v>
      </c>
      <c r="POX30" s="376" t="s">
        <v>984</v>
      </c>
      <c r="PPJ30" s="197" t="s">
        <v>110</v>
      </c>
      <c r="PPK30" s="198"/>
      <c r="PPL30" s="1"/>
      <c r="PPM30" s="195">
        <v>28</v>
      </c>
      <c r="PPN30" s="376" t="s">
        <v>984</v>
      </c>
      <c r="PPZ30" s="197" t="s">
        <v>110</v>
      </c>
      <c r="PQA30" s="198"/>
      <c r="PQB30" s="1"/>
      <c r="PQC30" s="195">
        <v>28</v>
      </c>
      <c r="PQD30" s="376" t="s">
        <v>984</v>
      </c>
      <c r="PQP30" s="197" t="s">
        <v>110</v>
      </c>
      <c r="PQQ30" s="198"/>
      <c r="PQR30" s="1"/>
      <c r="PQS30" s="195">
        <v>28</v>
      </c>
      <c r="PQT30" s="376" t="s">
        <v>984</v>
      </c>
      <c r="PRF30" s="197" t="s">
        <v>110</v>
      </c>
      <c r="PRG30" s="198"/>
      <c r="PRH30" s="1"/>
      <c r="PRI30" s="195">
        <v>28</v>
      </c>
      <c r="PRJ30" s="376" t="s">
        <v>984</v>
      </c>
      <c r="PRV30" s="197" t="s">
        <v>110</v>
      </c>
      <c r="PRW30" s="198"/>
      <c r="PRX30" s="1"/>
      <c r="PRY30" s="195">
        <v>28</v>
      </c>
      <c r="PRZ30" s="376" t="s">
        <v>984</v>
      </c>
      <c r="PSL30" s="197" t="s">
        <v>110</v>
      </c>
      <c r="PSM30" s="198"/>
      <c r="PSN30" s="1"/>
      <c r="PSO30" s="195">
        <v>28</v>
      </c>
      <c r="PSP30" s="376" t="s">
        <v>984</v>
      </c>
      <c r="PTB30" s="197" t="s">
        <v>110</v>
      </c>
      <c r="PTC30" s="198"/>
      <c r="PTD30" s="1"/>
      <c r="PTE30" s="195">
        <v>28</v>
      </c>
      <c r="PTF30" s="376" t="s">
        <v>984</v>
      </c>
      <c r="PTR30" s="197" t="s">
        <v>110</v>
      </c>
      <c r="PTS30" s="198"/>
      <c r="PTT30" s="1"/>
      <c r="PTU30" s="195">
        <v>28</v>
      </c>
      <c r="PTV30" s="376" t="s">
        <v>984</v>
      </c>
      <c r="PUH30" s="197" t="s">
        <v>110</v>
      </c>
      <c r="PUI30" s="198"/>
      <c r="PUJ30" s="1"/>
      <c r="PUK30" s="195">
        <v>28</v>
      </c>
      <c r="PUL30" s="376" t="s">
        <v>984</v>
      </c>
      <c r="PUX30" s="197" t="s">
        <v>110</v>
      </c>
      <c r="PUY30" s="198"/>
      <c r="PUZ30" s="1"/>
      <c r="PVA30" s="195">
        <v>28</v>
      </c>
      <c r="PVB30" s="376" t="s">
        <v>984</v>
      </c>
      <c r="PVN30" s="197" t="s">
        <v>110</v>
      </c>
      <c r="PVO30" s="198"/>
      <c r="PVP30" s="1"/>
      <c r="PVQ30" s="195">
        <v>28</v>
      </c>
      <c r="PVR30" s="376" t="s">
        <v>984</v>
      </c>
      <c r="PWD30" s="197" t="s">
        <v>110</v>
      </c>
      <c r="PWE30" s="198"/>
      <c r="PWF30" s="1"/>
      <c r="PWG30" s="195">
        <v>28</v>
      </c>
      <c r="PWH30" s="376" t="s">
        <v>984</v>
      </c>
      <c r="PWT30" s="197" t="s">
        <v>110</v>
      </c>
      <c r="PWU30" s="198"/>
      <c r="PWV30" s="1"/>
      <c r="PWW30" s="195">
        <v>28</v>
      </c>
      <c r="PWX30" s="376" t="s">
        <v>984</v>
      </c>
      <c r="PXJ30" s="197" t="s">
        <v>110</v>
      </c>
      <c r="PXK30" s="198"/>
      <c r="PXL30" s="1"/>
      <c r="PXM30" s="195">
        <v>28</v>
      </c>
      <c r="PXN30" s="376" t="s">
        <v>984</v>
      </c>
      <c r="PXZ30" s="197" t="s">
        <v>110</v>
      </c>
      <c r="PYA30" s="198"/>
      <c r="PYB30" s="1"/>
      <c r="PYC30" s="195">
        <v>28</v>
      </c>
      <c r="PYD30" s="376" t="s">
        <v>984</v>
      </c>
      <c r="PYP30" s="197" t="s">
        <v>110</v>
      </c>
      <c r="PYQ30" s="198"/>
      <c r="PYR30" s="1"/>
      <c r="PYS30" s="195">
        <v>28</v>
      </c>
      <c r="PYT30" s="376" t="s">
        <v>984</v>
      </c>
      <c r="PZF30" s="197" t="s">
        <v>110</v>
      </c>
      <c r="PZG30" s="198"/>
      <c r="PZH30" s="1"/>
      <c r="PZI30" s="195">
        <v>28</v>
      </c>
      <c r="PZJ30" s="376" t="s">
        <v>984</v>
      </c>
      <c r="PZV30" s="197" t="s">
        <v>110</v>
      </c>
      <c r="PZW30" s="198"/>
      <c r="PZX30" s="1"/>
      <c r="PZY30" s="195">
        <v>28</v>
      </c>
      <c r="PZZ30" s="376" t="s">
        <v>984</v>
      </c>
      <c r="QAL30" s="197" t="s">
        <v>110</v>
      </c>
      <c r="QAM30" s="198"/>
      <c r="QAN30" s="1"/>
      <c r="QAO30" s="195">
        <v>28</v>
      </c>
      <c r="QAP30" s="376" t="s">
        <v>984</v>
      </c>
      <c r="QBB30" s="197" t="s">
        <v>110</v>
      </c>
      <c r="QBC30" s="198"/>
      <c r="QBD30" s="1"/>
      <c r="QBE30" s="195">
        <v>28</v>
      </c>
      <c r="QBF30" s="376" t="s">
        <v>984</v>
      </c>
      <c r="QBR30" s="197" t="s">
        <v>110</v>
      </c>
      <c r="QBS30" s="198"/>
      <c r="QBT30" s="1"/>
      <c r="QBU30" s="195">
        <v>28</v>
      </c>
      <c r="QBV30" s="376" t="s">
        <v>984</v>
      </c>
      <c r="QCH30" s="197" t="s">
        <v>110</v>
      </c>
      <c r="QCI30" s="198"/>
      <c r="QCJ30" s="1"/>
      <c r="QCK30" s="195">
        <v>28</v>
      </c>
      <c r="QCL30" s="376" t="s">
        <v>984</v>
      </c>
      <c r="QCX30" s="197" t="s">
        <v>110</v>
      </c>
      <c r="QCY30" s="198"/>
      <c r="QCZ30" s="1"/>
      <c r="QDA30" s="195">
        <v>28</v>
      </c>
      <c r="QDB30" s="376" t="s">
        <v>984</v>
      </c>
      <c r="QDN30" s="197" t="s">
        <v>110</v>
      </c>
      <c r="QDO30" s="198"/>
      <c r="QDP30" s="1"/>
      <c r="QDQ30" s="195">
        <v>28</v>
      </c>
      <c r="QDR30" s="376" t="s">
        <v>984</v>
      </c>
      <c r="QED30" s="197" t="s">
        <v>110</v>
      </c>
      <c r="QEE30" s="198"/>
      <c r="QEF30" s="1"/>
      <c r="QEG30" s="195">
        <v>28</v>
      </c>
      <c r="QEH30" s="376" t="s">
        <v>984</v>
      </c>
      <c r="QET30" s="197" t="s">
        <v>110</v>
      </c>
      <c r="QEU30" s="198"/>
      <c r="QEV30" s="1"/>
      <c r="QEW30" s="195">
        <v>28</v>
      </c>
      <c r="QEX30" s="376" t="s">
        <v>984</v>
      </c>
      <c r="QFJ30" s="197" t="s">
        <v>110</v>
      </c>
      <c r="QFK30" s="198"/>
      <c r="QFL30" s="1"/>
      <c r="QFM30" s="195">
        <v>28</v>
      </c>
      <c r="QFN30" s="376" t="s">
        <v>984</v>
      </c>
      <c r="QFZ30" s="197" t="s">
        <v>110</v>
      </c>
      <c r="QGA30" s="198"/>
      <c r="QGB30" s="1"/>
      <c r="QGC30" s="195">
        <v>28</v>
      </c>
      <c r="QGD30" s="376" t="s">
        <v>984</v>
      </c>
      <c r="QGP30" s="197" t="s">
        <v>110</v>
      </c>
      <c r="QGQ30" s="198"/>
      <c r="QGR30" s="1"/>
      <c r="QGS30" s="195">
        <v>28</v>
      </c>
      <c r="QGT30" s="376" t="s">
        <v>984</v>
      </c>
      <c r="QHF30" s="197" t="s">
        <v>110</v>
      </c>
      <c r="QHG30" s="198"/>
      <c r="QHH30" s="1"/>
      <c r="QHI30" s="195">
        <v>28</v>
      </c>
      <c r="QHJ30" s="376" t="s">
        <v>984</v>
      </c>
      <c r="QHV30" s="197" t="s">
        <v>110</v>
      </c>
      <c r="QHW30" s="198"/>
      <c r="QHX30" s="1"/>
      <c r="QHY30" s="195">
        <v>28</v>
      </c>
      <c r="QHZ30" s="376" t="s">
        <v>984</v>
      </c>
      <c r="QIL30" s="197" t="s">
        <v>110</v>
      </c>
      <c r="QIM30" s="198"/>
      <c r="QIN30" s="1"/>
      <c r="QIO30" s="195">
        <v>28</v>
      </c>
      <c r="QIP30" s="376" t="s">
        <v>984</v>
      </c>
      <c r="QJB30" s="197" t="s">
        <v>110</v>
      </c>
      <c r="QJC30" s="198"/>
      <c r="QJD30" s="1"/>
      <c r="QJE30" s="195">
        <v>28</v>
      </c>
      <c r="QJF30" s="376" t="s">
        <v>984</v>
      </c>
      <c r="QJR30" s="197" t="s">
        <v>110</v>
      </c>
      <c r="QJS30" s="198"/>
      <c r="QJT30" s="1"/>
      <c r="QJU30" s="195">
        <v>28</v>
      </c>
      <c r="QJV30" s="376" t="s">
        <v>984</v>
      </c>
      <c r="QKH30" s="197" t="s">
        <v>110</v>
      </c>
      <c r="QKI30" s="198"/>
      <c r="QKJ30" s="1"/>
      <c r="QKK30" s="195">
        <v>28</v>
      </c>
      <c r="QKL30" s="376" t="s">
        <v>984</v>
      </c>
      <c r="QKX30" s="197" t="s">
        <v>110</v>
      </c>
      <c r="QKY30" s="198"/>
      <c r="QKZ30" s="1"/>
      <c r="QLA30" s="195">
        <v>28</v>
      </c>
      <c r="QLB30" s="376" t="s">
        <v>984</v>
      </c>
      <c r="QLN30" s="197" t="s">
        <v>110</v>
      </c>
      <c r="QLO30" s="198"/>
      <c r="QLP30" s="1"/>
      <c r="QLQ30" s="195">
        <v>28</v>
      </c>
      <c r="QLR30" s="376" t="s">
        <v>984</v>
      </c>
      <c r="QMD30" s="197" t="s">
        <v>110</v>
      </c>
      <c r="QME30" s="198"/>
      <c r="QMF30" s="1"/>
      <c r="QMG30" s="195">
        <v>28</v>
      </c>
      <c r="QMH30" s="376" t="s">
        <v>984</v>
      </c>
      <c r="QMT30" s="197" t="s">
        <v>110</v>
      </c>
      <c r="QMU30" s="198"/>
      <c r="QMV30" s="1"/>
      <c r="QMW30" s="195">
        <v>28</v>
      </c>
      <c r="QMX30" s="376" t="s">
        <v>984</v>
      </c>
      <c r="QNJ30" s="197" t="s">
        <v>110</v>
      </c>
      <c r="QNK30" s="198"/>
      <c r="QNL30" s="1"/>
      <c r="QNM30" s="195">
        <v>28</v>
      </c>
      <c r="QNN30" s="376" t="s">
        <v>984</v>
      </c>
      <c r="QNZ30" s="197" t="s">
        <v>110</v>
      </c>
      <c r="QOA30" s="198"/>
      <c r="QOB30" s="1"/>
      <c r="QOC30" s="195">
        <v>28</v>
      </c>
      <c r="QOD30" s="376" t="s">
        <v>984</v>
      </c>
      <c r="QOP30" s="197" t="s">
        <v>110</v>
      </c>
      <c r="QOQ30" s="198"/>
      <c r="QOR30" s="1"/>
      <c r="QOS30" s="195">
        <v>28</v>
      </c>
      <c r="QOT30" s="376" t="s">
        <v>984</v>
      </c>
      <c r="QPF30" s="197" t="s">
        <v>110</v>
      </c>
      <c r="QPG30" s="198"/>
      <c r="QPH30" s="1"/>
      <c r="QPI30" s="195">
        <v>28</v>
      </c>
      <c r="QPJ30" s="376" t="s">
        <v>984</v>
      </c>
      <c r="QPV30" s="197" t="s">
        <v>110</v>
      </c>
      <c r="QPW30" s="198"/>
      <c r="QPX30" s="1"/>
      <c r="QPY30" s="195">
        <v>28</v>
      </c>
      <c r="QPZ30" s="376" t="s">
        <v>984</v>
      </c>
      <c r="QQL30" s="197" t="s">
        <v>110</v>
      </c>
      <c r="QQM30" s="198"/>
      <c r="QQN30" s="1"/>
      <c r="QQO30" s="195">
        <v>28</v>
      </c>
      <c r="QQP30" s="376" t="s">
        <v>984</v>
      </c>
      <c r="QRB30" s="197" t="s">
        <v>110</v>
      </c>
      <c r="QRC30" s="198"/>
      <c r="QRD30" s="1"/>
      <c r="QRE30" s="195">
        <v>28</v>
      </c>
      <c r="QRF30" s="376" t="s">
        <v>984</v>
      </c>
      <c r="QRR30" s="197" t="s">
        <v>110</v>
      </c>
      <c r="QRS30" s="198"/>
      <c r="QRT30" s="1"/>
      <c r="QRU30" s="195">
        <v>28</v>
      </c>
      <c r="QRV30" s="376" t="s">
        <v>984</v>
      </c>
      <c r="QSH30" s="197" t="s">
        <v>110</v>
      </c>
      <c r="QSI30" s="198"/>
      <c r="QSJ30" s="1"/>
      <c r="QSK30" s="195">
        <v>28</v>
      </c>
      <c r="QSL30" s="376" t="s">
        <v>984</v>
      </c>
      <c r="QSX30" s="197" t="s">
        <v>110</v>
      </c>
      <c r="QSY30" s="198"/>
      <c r="QSZ30" s="1"/>
      <c r="QTA30" s="195">
        <v>28</v>
      </c>
      <c r="QTB30" s="376" t="s">
        <v>984</v>
      </c>
      <c r="QTN30" s="197" t="s">
        <v>110</v>
      </c>
      <c r="QTO30" s="198"/>
      <c r="QTP30" s="1"/>
      <c r="QTQ30" s="195">
        <v>28</v>
      </c>
      <c r="QTR30" s="376" t="s">
        <v>984</v>
      </c>
      <c r="QUD30" s="197" t="s">
        <v>110</v>
      </c>
      <c r="QUE30" s="198"/>
      <c r="QUF30" s="1"/>
      <c r="QUG30" s="195">
        <v>28</v>
      </c>
      <c r="QUH30" s="376" t="s">
        <v>984</v>
      </c>
      <c r="QUT30" s="197" t="s">
        <v>110</v>
      </c>
      <c r="QUU30" s="198"/>
      <c r="QUV30" s="1"/>
      <c r="QUW30" s="195">
        <v>28</v>
      </c>
      <c r="QUX30" s="376" t="s">
        <v>984</v>
      </c>
      <c r="QVJ30" s="197" t="s">
        <v>110</v>
      </c>
      <c r="QVK30" s="198"/>
      <c r="QVL30" s="1"/>
      <c r="QVM30" s="195">
        <v>28</v>
      </c>
      <c r="QVN30" s="376" t="s">
        <v>984</v>
      </c>
      <c r="QVZ30" s="197" t="s">
        <v>110</v>
      </c>
      <c r="QWA30" s="198"/>
      <c r="QWB30" s="1"/>
      <c r="QWC30" s="195">
        <v>28</v>
      </c>
      <c r="QWD30" s="376" t="s">
        <v>984</v>
      </c>
      <c r="QWP30" s="197" t="s">
        <v>110</v>
      </c>
      <c r="QWQ30" s="198"/>
      <c r="QWR30" s="1"/>
      <c r="QWS30" s="195">
        <v>28</v>
      </c>
      <c r="QWT30" s="376" t="s">
        <v>984</v>
      </c>
      <c r="QXF30" s="197" t="s">
        <v>110</v>
      </c>
      <c r="QXG30" s="198"/>
      <c r="QXH30" s="1"/>
      <c r="QXI30" s="195">
        <v>28</v>
      </c>
      <c r="QXJ30" s="376" t="s">
        <v>984</v>
      </c>
      <c r="QXV30" s="197" t="s">
        <v>110</v>
      </c>
      <c r="QXW30" s="198"/>
      <c r="QXX30" s="1"/>
      <c r="QXY30" s="195">
        <v>28</v>
      </c>
      <c r="QXZ30" s="376" t="s">
        <v>984</v>
      </c>
      <c r="QYL30" s="197" t="s">
        <v>110</v>
      </c>
      <c r="QYM30" s="198"/>
      <c r="QYN30" s="1"/>
      <c r="QYO30" s="195">
        <v>28</v>
      </c>
      <c r="QYP30" s="376" t="s">
        <v>984</v>
      </c>
      <c r="QZB30" s="197" t="s">
        <v>110</v>
      </c>
      <c r="QZC30" s="198"/>
      <c r="QZD30" s="1"/>
      <c r="QZE30" s="195">
        <v>28</v>
      </c>
      <c r="QZF30" s="376" t="s">
        <v>984</v>
      </c>
      <c r="QZR30" s="197" t="s">
        <v>110</v>
      </c>
      <c r="QZS30" s="198"/>
      <c r="QZT30" s="1"/>
      <c r="QZU30" s="195">
        <v>28</v>
      </c>
      <c r="QZV30" s="376" t="s">
        <v>984</v>
      </c>
      <c r="RAH30" s="197" t="s">
        <v>110</v>
      </c>
      <c r="RAI30" s="198"/>
      <c r="RAJ30" s="1"/>
      <c r="RAK30" s="195">
        <v>28</v>
      </c>
      <c r="RAL30" s="376" t="s">
        <v>984</v>
      </c>
      <c r="RAX30" s="197" t="s">
        <v>110</v>
      </c>
      <c r="RAY30" s="198"/>
      <c r="RAZ30" s="1"/>
      <c r="RBA30" s="195">
        <v>28</v>
      </c>
      <c r="RBB30" s="376" t="s">
        <v>984</v>
      </c>
      <c r="RBN30" s="197" t="s">
        <v>110</v>
      </c>
      <c r="RBO30" s="198"/>
      <c r="RBP30" s="1"/>
      <c r="RBQ30" s="195">
        <v>28</v>
      </c>
      <c r="RBR30" s="376" t="s">
        <v>984</v>
      </c>
      <c r="RCD30" s="197" t="s">
        <v>110</v>
      </c>
      <c r="RCE30" s="198"/>
      <c r="RCF30" s="1"/>
      <c r="RCG30" s="195">
        <v>28</v>
      </c>
      <c r="RCH30" s="376" t="s">
        <v>984</v>
      </c>
      <c r="RCT30" s="197" t="s">
        <v>110</v>
      </c>
      <c r="RCU30" s="198"/>
      <c r="RCV30" s="1"/>
      <c r="RCW30" s="195">
        <v>28</v>
      </c>
      <c r="RCX30" s="376" t="s">
        <v>984</v>
      </c>
      <c r="RDJ30" s="197" t="s">
        <v>110</v>
      </c>
      <c r="RDK30" s="198"/>
      <c r="RDL30" s="1"/>
      <c r="RDM30" s="195">
        <v>28</v>
      </c>
      <c r="RDN30" s="376" t="s">
        <v>984</v>
      </c>
      <c r="RDZ30" s="197" t="s">
        <v>110</v>
      </c>
      <c r="REA30" s="198"/>
      <c r="REB30" s="1"/>
      <c r="REC30" s="195">
        <v>28</v>
      </c>
      <c r="RED30" s="376" t="s">
        <v>984</v>
      </c>
      <c r="REP30" s="197" t="s">
        <v>110</v>
      </c>
      <c r="REQ30" s="198"/>
      <c r="RER30" s="1"/>
      <c r="RES30" s="195">
        <v>28</v>
      </c>
      <c r="RET30" s="376" t="s">
        <v>984</v>
      </c>
      <c r="RFF30" s="197" t="s">
        <v>110</v>
      </c>
      <c r="RFG30" s="198"/>
      <c r="RFH30" s="1"/>
      <c r="RFI30" s="195">
        <v>28</v>
      </c>
      <c r="RFJ30" s="376" t="s">
        <v>984</v>
      </c>
      <c r="RFV30" s="197" t="s">
        <v>110</v>
      </c>
      <c r="RFW30" s="198"/>
      <c r="RFX30" s="1"/>
      <c r="RFY30" s="195">
        <v>28</v>
      </c>
      <c r="RFZ30" s="376" t="s">
        <v>984</v>
      </c>
      <c r="RGL30" s="197" t="s">
        <v>110</v>
      </c>
      <c r="RGM30" s="198"/>
      <c r="RGN30" s="1"/>
      <c r="RGO30" s="195">
        <v>28</v>
      </c>
      <c r="RGP30" s="376" t="s">
        <v>984</v>
      </c>
      <c r="RHB30" s="197" t="s">
        <v>110</v>
      </c>
      <c r="RHC30" s="198"/>
      <c r="RHD30" s="1"/>
      <c r="RHE30" s="195">
        <v>28</v>
      </c>
      <c r="RHF30" s="376" t="s">
        <v>984</v>
      </c>
      <c r="RHR30" s="197" t="s">
        <v>110</v>
      </c>
      <c r="RHS30" s="198"/>
      <c r="RHT30" s="1"/>
      <c r="RHU30" s="195">
        <v>28</v>
      </c>
      <c r="RHV30" s="376" t="s">
        <v>984</v>
      </c>
      <c r="RIH30" s="197" t="s">
        <v>110</v>
      </c>
      <c r="RII30" s="198"/>
      <c r="RIJ30" s="1"/>
      <c r="RIK30" s="195">
        <v>28</v>
      </c>
      <c r="RIL30" s="376" t="s">
        <v>984</v>
      </c>
      <c r="RIX30" s="197" t="s">
        <v>110</v>
      </c>
      <c r="RIY30" s="198"/>
      <c r="RIZ30" s="1"/>
      <c r="RJA30" s="195">
        <v>28</v>
      </c>
      <c r="RJB30" s="376" t="s">
        <v>984</v>
      </c>
      <c r="RJN30" s="197" t="s">
        <v>110</v>
      </c>
      <c r="RJO30" s="198"/>
      <c r="RJP30" s="1"/>
      <c r="RJQ30" s="195">
        <v>28</v>
      </c>
      <c r="RJR30" s="376" t="s">
        <v>984</v>
      </c>
      <c r="RKD30" s="197" t="s">
        <v>110</v>
      </c>
      <c r="RKE30" s="198"/>
      <c r="RKF30" s="1"/>
      <c r="RKG30" s="195">
        <v>28</v>
      </c>
      <c r="RKH30" s="376" t="s">
        <v>984</v>
      </c>
      <c r="RKT30" s="197" t="s">
        <v>110</v>
      </c>
      <c r="RKU30" s="198"/>
      <c r="RKV30" s="1"/>
      <c r="RKW30" s="195">
        <v>28</v>
      </c>
      <c r="RKX30" s="376" t="s">
        <v>984</v>
      </c>
      <c r="RLJ30" s="197" t="s">
        <v>110</v>
      </c>
      <c r="RLK30" s="198"/>
      <c r="RLL30" s="1"/>
      <c r="RLM30" s="195">
        <v>28</v>
      </c>
      <c r="RLN30" s="376" t="s">
        <v>984</v>
      </c>
      <c r="RLZ30" s="197" t="s">
        <v>110</v>
      </c>
      <c r="RMA30" s="198"/>
      <c r="RMB30" s="1"/>
      <c r="RMC30" s="195">
        <v>28</v>
      </c>
      <c r="RMD30" s="376" t="s">
        <v>984</v>
      </c>
      <c r="RMP30" s="197" t="s">
        <v>110</v>
      </c>
      <c r="RMQ30" s="198"/>
      <c r="RMR30" s="1"/>
      <c r="RMS30" s="195">
        <v>28</v>
      </c>
      <c r="RMT30" s="376" t="s">
        <v>984</v>
      </c>
      <c r="RNF30" s="197" t="s">
        <v>110</v>
      </c>
      <c r="RNG30" s="198"/>
      <c r="RNH30" s="1"/>
      <c r="RNI30" s="195">
        <v>28</v>
      </c>
      <c r="RNJ30" s="376" t="s">
        <v>984</v>
      </c>
      <c r="RNV30" s="197" t="s">
        <v>110</v>
      </c>
      <c r="RNW30" s="198"/>
      <c r="RNX30" s="1"/>
      <c r="RNY30" s="195">
        <v>28</v>
      </c>
      <c r="RNZ30" s="376" t="s">
        <v>984</v>
      </c>
      <c r="ROL30" s="197" t="s">
        <v>110</v>
      </c>
      <c r="ROM30" s="198"/>
      <c r="RON30" s="1"/>
      <c r="ROO30" s="195">
        <v>28</v>
      </c>
      <c r="ROP30" s="376" t="s">
        <v>984</v>
      </c>
      <c r="RPB30" s="197" t="s">
        <v>110</v>
      </c>
      <c r="RPC30" s="198"/>
      <c r="RPD30" s="1"/>
      <c r="RPE30" s="195">
        <v>28</v>
      </c>
      <c r="RPF30" s="376" t="s">
        <v>984</v>
      </c>
      <c r="RPR30" s="197" t="s">
        <v>110</v>
      </c>
      <c r="RPS30" s="198"/>
      <c r="RPT30" s="1"/>
      <c r="RPU30" s="195">
        <v>28</v>
      </c>
      <c r="RPV30" s="376" t="s">
        <v>984</v>
      </c>
      <c r="RQH30" s="197" t="s">
        <v>110</v>
      </c>
      <c r="RQI30" s="198"/>
      <c r="RQJ30" s="1"/>
      <c r="RQK30" s="195">
        <v>28</v>
      </c>
      <c r="RQL30" s="376" t="s">
        <v>984</v>
      </c>
      <c r="RQX30" s="197" t="s">
        <v>110</v>
      </c>
      <c r="RQY30" s="198"/>
      <c r="RQZ30" s="1"/>
      <c r="RRA30" s="195">
        <v>28</v>
      </c>
      <c r="RRB30" s="376" t="s">
        <v>984</v>
      </c>
      <c r="RRN30" s="197" t="s">
        <v>110</v>
      </c>
      <c r="RRO30" s="198"/>
      <c r="RRP30" s="1"/>
      <c r="RRQ30" s="195">
        <v>28</v>
      </c>
      <c r="RRR30" s="376" t="s">
        <v>984</v>
      </c>
      <c r="RSD30" s="197" t="s">
        <v>110</v>
      </c>
      <c r="RSE30" s="198"/>
      <c r="RSF30" s="1"/>
      <c r="RSG30" s="195">
        <v>28</v>
      </c>
      <c r="RSH30" s="376" t="s">
        <v>984</v>
      </c>
      <c r="RST30" s="197" t="s">
        <v>110</v>
      </c>
      <c r="RSU30" s="198"/>
      <c r="RSV30" s="1"/>
      <c r="RSW30" s="195">
        <v>28</v>
      </c>
      <c r="RSX30" s="376" t="s">
        <v>984</v>
      </c>
      <c r="RTJ30" s="197" t="s">
        <v>110</v>
      </c>
      <c r="RTK30" s="198"/>
      <c r="RTL30" s="1"/>
      <c r="RTM30" s="195">
        <v>28</v>
      </c>
      <c r="RTN30" s="376" t="s">
        <v>984</v>
      </c>
      <c r="RTZ30" s="197" t="s">
        <v>110</v>
      </c>
      <c r="RUA30" s="198"/>
      <c r="RUB30" s="1"/>
      <c r="RUC30" s="195">
        <v>28</v>
      </c>
      <c r="RUD30" s="376" t="s">
        <v>984</v>
      </c>
      <c r="RUP30" s="197" t="s">
        <v>110</v>
      </c>
      <c r="RUQ30" s="198"/>
      <c r="RUR30" s="1"/>
      <c r="RUS30" s="195">
        <v>28</v>
      </c>
      <c r="RUT30" s="376" t="s">
        <v>984</v>
      </c>
      <c r="RVF30" s="197" t="s">
        <v>110</v>
      </c>
      <c r="RVG30" s="198"/>
      <c r="RVH30" s="1"/>
      <c r="RVI30" s="195">
        <v>28</v>
      </c>
      <c r="RVJ30" s="376" t="s">
        <v>984</v>
      </c>
      <c r="RVV30" s="197" t="s">
        <v>110</v>
      </c>
      <c r="RVW30" s="198"/>
      <c r="RVX30" s="1"/>
      <c r="RVY30" s="195">
        <v>28</v>
      </c>
      <c r="RVZ30" s="376" t="s">
        <v>984</v>
      </c>
      <c r="RWL30" s="197" t="s">
        <v>110</v>
      </c>
      <c r="RWM30" s="198"/>
      <c r="RWN30" s="1"/>
      <c r="RWO30" s="195">
        <v>28</v>
      </c>
      <c r="RWP30" s="376" t="s">
        <v>984</v>
      </c>
      <c r="RXB30" s="197" t="s">
        <v>110</v>
      </c>
      <c r="RXC30" s="198"/>
      <c r="RXD30" s="1"/>
      <c r="RXE30" s="195">
        <v>28</v>
      </c>
      <c r="RXF30" s="376" t="s">
        <v>984</v>
      </c>
      <c r="RXR30" s="197" t="s">
        <v>110</v>
      </c>
      <c r="RXS30" s="198"/>
      <c r="RXT30" s="1"/>
      <c r="RXU30" s="195">
        <v>28</v>
      </c>
      <c r="RXV30" s="376" t="s">
        <v>984</v>
      </c>
      <c r="RYH30" s="197" t="s">
        <v>110</v>
      </c>
      <c r="RYI30" s="198"/>
      <c r="RYJ30" s="1"/>
      <c r="RYK30" s="195">
        <v>28</v>
      </c>
      <c r="RYL30" s="376" t="s">
        <v>984</v>
      </c>
      <c r="RYX30" s="197" t="s">
        <v>110</v>
      </c>
      <c r="RYY30" s="198"/>
      <c r="RYZ30" s="1"/>
      <c r="RZA30" s="195">
        <v>28</v>
      </c>
      <c r="RZB30" s="376" t="s">
        <v>984</v>
      </c>
      <c r="RZN30" s="197" t="s">
        <v>110</v>
      </c>
      <c r="RZO30" s="198"/>
      <c r="RZP30" s="1"/>
      <c r="RZQ30" s="195">
        <v>28</v>
      </c>
      <c r="RZR30" s="376" t="s">
        <v>984</v>
      </c>
      <c r="SAD30" s="197" t="s">
        <v>110</v>
      </c>
      <c r="SAE30" s="198"/>
      <c r="SAF30" s="1"/>
      <c r="SAG30" s="195">
        <v>28</v>
      </c>
      <c r="SAH30" s="376" t="s">
        <v>984</v>
      </c>
      <c r="SAT30" s="197" t="s">
        <v>110</v>
      </c>
      <c r="SAU30" s="198"/>
      <c r="SAV30" s="1"/>
      <c r="SAW30" s="195">
        <v>28</v>
      </c>
      <c r="SAX30" s="376" t="s">
        <v>984</v>
      </c>
      <c r="SBJ30" s="197" t="s">
        <v>110</v>
      </c>
      <c r="SBK30" s="198"/>
      <c r="SBL30" s="1"/>
      <c r="SBM30" s="195">
        <v>28</v>
      </c>
      <c r="SBN30" s="376" t="s">
        <v>984</v>
      </c>
      <c r="SBZ30" s="197" t="s">
        <v>110</v>
      </c>
      <c r="SCA30" s="198"/>
      <c r="SCB30" s="1"/>
      <c r="SCC30" s="195">
        <v>28</v>
      </c>
      <c r="SCD30" s="376" t="s">
        <v>984</v>
      </c>
      <c r="SCP30" s="197" t="s">
        <v>110</v>
      </c>
      <c r="SCQ30" s="198"/>
      <c r="SCR30" s="1"/>
      <c r="SCS30" s="195">
        <v>28</v>
      </c>
      <c r="SCT30" s="376" t="s">
        <v>984</v>
      </c>
      <c r="SDF30" s="197" t="s">
        <v>110</v>
      </c>
      <c r="SDG30" s="198"/>
      <c r="SDH30" s="1"/>
      <c r="SDI30" s="195">
        <v>28</v>
      </c>
      <c r="SDJ30" s="376" t="s">
        <v>984</v>
      </c>
      <c r="SDV30" s="197" t="s">
        <v>110</v>
      </c>
      <c r="SDW30" s="198"/>
      <c r="SDX30" s="1"/>
      <c r="SDY30" s="195">
        <v>28</v>
      </c>
      <c r="SDZ30" s="376" t="s">
        <v>984</v>
      </c>
      <c r="SEL30" s="197" t="s">
        <v>110</v>
      </c>
      <c r="SEM30" s="198"/>
      <c r="SEN30" s="1"/>
      <c r="SEO30" s="195">
        <v>28</v>
      </c>
      <c r="SEP30" s="376" t="s">
        <v>984</v>
      </c>
      <c r="SFB30" s="197" t="s">
        <v>110</v>
      </c>
      <c r="SFC30" s="198"/>
      <c r="SFD30" s="1"/>
      <c r="SFE30" s="195">
        <v>28</v>
      </c>
      <c r="SFF30" s="376" t="s">
        <v>984</v>
      </c>
      <c r="SFR30" s="197" t="s">
        <v>110</v>
      </c>
      <c r="SFS30" s="198"/>
      <c r="SFT30" s="1"/>
      <c r="SFU30" s="195">
        <v>28</v>
      </c>
      <c r="SFV30" s="376" t="s">
        <v>984</v>
      </c>
      <c r="SGH30" s="197" t="s">
        <v>110</v>
      </c>
      <c r="SGI30" s="198"/>
      <c r="SGJ30" s="1"/>
      <c r="SGK30" s="195">
        <v>28</v>
      </c>
      <c r="SGL30" s="376" t="s">
        <v>984</v>
      </c>
      <c r="SGX30" s="197" t="s">
        <v>110</v>
      </c>
      <c r="SGY30" s="198"/>
      <c r="SGZ30" s="1"/>
      <c r="SHA30" s="195">
        <v>28</v>
      </c>
      <c r="SHB30" s="376" t="s">
        <v>984</v>
      </c>
      <c r="SHN30" s="197" t="s">
        <v>110</v>
      </c>
      <c r="SHO30" s="198"/>
      <c r="SHP30" s="1"/>
      <c r="SHQ30" s="195">
        <v>28</v>
      </c>
      <c r="SHR30" s="376" t="s">
        <v>984</v>
      </c>
      <c r="SID30" s="197" t="s">
        <v>110</v>
      </c>
      <c r="SIE30" s="198"/>
      <c r="SIF30" s="1"/>
      <c r="SIG30" s="195">
        <v>28</v>
      </c>
      <c r="SIH30" s="376" t="s">
        <v>984</v>
      </c>
      <c r="SIT30" s="197" t="s">
        <v>110</v>
      </c>
      <c r="SIU30" s="198"/>
      <c r="SIV30" s="1"/>
      <c r="SIW30" s="195">
        <v>28</v>
      </c>
      <c r="SIX30" s="376" t="s">
        <v>984</v>
      </c>
      <c r="SJJ30" s="197" t="s">
        <v>110</v>
      </c>
      <c r="SJK30" s="198"/>
      <c r="SJL30" s="1"/>
      <c r="SJM30" s="195">
        <v>28</v>
      </c>
      <c r="SJN30" s="376" t="s">
        <v>984</v>
      </c>
      <c r="SJZ30" s="197" t="s">
        <v>110</v>
      </c>
      <c r="SKA30" s="198"/>
      <c r="SKB30" s="1"/>
      <c r="SKC30" s="195">
        <v>28</v>
      </c>
      <c r="SKD30" s="376" t="s">
        <v>984</v>
      </c>
      <c r="SKP30" s="197" t="s">
        <v>110</v>
      </c>
      <c r="SKQ30" s="198"/>
      <c r="SKR30" s="1"/>
      <c r="SKS30" s="195">
        <v>28</v>
      </c>
      <c r="SKT30" s="376" t="s">
        <v>984</v>
      </c>
      <c r="SLF30" s="197" t="s">
        <v>110</v>
      </c>
      <c r="SLG30" s="198"/>
      <c r="SLH30" s="1"/>
      <c r="SLI30" s="195">
        <v>28</v>
      </c>
      <c r="SLJ30" s="376" t="s">
        <v>984</v>
      </c>
      <c r="SLV30" s="197" t="s">
        <v>110</v>
      </c>
      <c r="SLW30" s="198"/>
      <c r="SLX30" s="1"/>
      <c r="SLY30" s="195">
        <v>28</v>
      </c>
      <c r="SLZ30" s="376" t="s">
        <v>984</v>
      </c>
      <c r="SML30" s="197" t="s">
        <v>110</v>
      </c>
      <c r="SMM30" s="198"/>
      <c r="SMN30" s="1"/>
      <c r="SMO30" s="195">
        <v>28</v>
      </c>
      <c r="SMP30" s="376" t="s">
        <v>984</v>
      </c>
      <c r="SNB30" s="197" t="s">
        <v>110</v>
      </c>
      <c r="SNC30" s="198"/>
      <c r="SND30" s="1"/>
      <c r="SNE30" s="195">
        <v>28</v>
      </c>
      <c r="SNF30" s="376" t="s">
        <v>984</v>
      </c>
      <c r="SNR30" s="197" t="s">
        <v>110</v>
      </c>
      <c r="SNS30" s="198"/>
      <c r="SNT30" s="1"/>
      <c r="SNU30" s="195">
        <v>28</v>
      </c>
      <c r="SNV30" s="376" t="s">
        <v>984</v>
      </c>
      <c r="SOH30" s="197" t="s">
        <v>110</v>
      </c>
      <c r="SOI30" s="198"/>
      <c r="SOJ30" s="1"/>
      <c r="SOK30" s="195">
        <v>28</v>
      </c>
      <c r="SOL30" s="376" t="s">
        <v>984</v>
      </c>
      <c r="SOX30" s="197" t="s">
        <v>110</v>
      </c>
      <c r="SOY30" s="198"/>
      <c r="SOZ30" s="1"/>
      <c r="SPA30" s="195">
        <v>28</v>
      </c>
      <c r="SPB30" s="376" t="s">
        <v>984</v>
      </c>
      <c r="SPN30" s="197" t="s">
        <v>110</v>
      </c>
      <c r="SPO30" s="198"/>
      <c r="SPP30" s="1"/>
      <c r="SPQ30" s="195">
        <v>28</v>
      </c>
      <c r="SPR30" s="376" t="s">
        <v>984</v>
      </c>
      <c r="SQD30" s="197" t="s">
        <v>110</v>
      </c>
      <c r="SQE30" s="198"/>
      <c r="SQF30" s="1"/>
      <c r="SQG30" s="195">
        <v>28</v>
      </c>
      <c r="SQH30" s="376" t="s">
        <v>984</v>
      </c>
      <c r="SQT30" s="197" t="s">
        <v>110</v>
      </c>
      <c r="SQU30" s="198"/>
      <c r="SQV30" s="1"/>
      <c r="SQW30" s="195">
        <v>28</v>
      </c>
      <c r="SQX30" s="376" t="s">
        <v>984</v>
      </c>
      <c r="SRJ30" s="197" t="s">
        <v>110</v>
      </c>
      <c r="SRK30" s="198"/>
      <c r="SRL30" s="1"/>
      <c r="SRM30" s="195">
        <v>28</v>
      </c>
      <c r="SRN30" s="376" t="s">
        <v>984</v>
      </c>
      <c r="SRZ30" s="197" t="s">
        <v>110</v>
      </c>
      <c r="SSA30" s="198"/>
      <c r="SSB30" s="1"/>
      <c r="SSC30" s="195">
        <v>28</v>
      </c>
      <c r="SSD30" s="376" t="s">
        <v>984</v>
      </c>
      <c r="SSP30" s="197" t="s">
        <v>110</v>
      </c>
      <c r="SSQ30" s="198"/>
      <c r="SSR30" s="1"/>
      <c r="SSS30" s="195">
        <v>28</v>
      </c>
      <c r="SST30" s="376" t="s">
        <v>984</v>
      </c>
      <c r="STF30" s="197" t="s">
        <v>110</v>
      </c>
      <c r="STG30" s="198"/>
      <c r="STH30" s="1"/>
      <c r="STI30" s="195">
        <v>28</v>
      </c>
      <c r="STJ30" s="376" t="s">
        <v>984</v>
      </c>
      <c r="STV30" s="197" t="s">
        <v>110</v>
      </c>
      <c r="STW30" s="198"/>
      <c r="STX30" s="1"/>
      <c r="STY30" s="195">
        <v>28</v>
      </c>
      <c r="STZ30" s="376" t="s">
        <v>984</v>
      </c>
      <c r="SUL30" s="197" t="s">
        <v>110</v>
      </c>
      <c r="SUM30" s="198"/>
      <c r="SUN30" s="1"/>
      <c r="SUO30" s="195">
        <v>28</v>
      </c>
      <c r="SUP30" s="376" t="s">
        <v>984</v>
      </c>
      <c r="SVB30" s="197" t="s">
        <v>110</v>
      </c>
      <c r="SVC30" s="198"/>
      <c r="SVD30" s="1"/>
      <c r="SVE30" s="195">
        <v>28</v>
      </c>
      <c r="SVF30" s="376" t="s">
        <v>984</v>
      </c>
      <c r="SVR30" s="197" t="s">
        <v>110</v>
      </c>
      <c r="SVS30" s="198"/>
      <c r="SVT30" s="1"/>
      <c r="SVU30" s="195">
        <v>28</v>
      </c>
      <c r="SVV30" s="376" t="s">
        <v>984</v>
      </c>
      <c r="SWH30" s="197" t="s">
        <v>110</v>
      </c>
      <c r="SWI30" s="198"/>
      <c r="SWJ30" s="1"/>
      <c r="SWK30" s="195">
        <v>28</v>
      </c>
      <c r="SWL30" s="376" t="s">
        <v>984</v>
      </c>
      <c r="SWX30" s="197" t="s">
        <v>110</v>
      </c>
      <c r="SWY30" s="198"/>
      <c r="SWZ30" s="1"/>
      <c r="SXA30" s="195">
        <v>28</v>
      </c>
      <c r="SXB30" s="376" t="s">
        <v>984</v>
      </c>
      <c r="SXN30" s="197" t="s">
        <v>110</v>
      </c>
      <c r="SXO30" s="198"/>
      <c r="SXP30" s="1"/>
      <c r="SXQ30" s="195">
        <v>28</v>
      </c>
      <c r="SXR30" s="376" t="s">
        <v>984</v>
      </c>
      <c r="SYD30" s="197" t="s">
        <v>110</v>
      </c>
      <c r="SYE30" s="198"/>
      <c r="SYF30" s="1"/>
      <c r="SYG30" s="195">
        <v>28</v>
      </c>
      <c r="SYH30" s="376" t="s">
        <v>984</v>
      </c>
      <c r="SYT30" s="197" t="s">
        <v>110</v>
      </c>
      <c r="SYU30" s="198"/>
      <c r="SYV30" s="1"/>
      <c r="SYW30" s="195">
        <v>28</v>
      </c>
      <c r="SYX30" s="376" t="s">
        <v>984</v>
      </c>
      <c r="SZJ30" s="197" t="s">
        <v>110</v>
      </c>
      <c r="SZK30" s="198"/>
      <c r="SZL30" s="1"/>
      <c r="SZM30" s="195">
        <v>28</v>
      </c>
      <c r="SZN30" s="376" t="s">
        <v>984</v>
      </c>
      <c r="SZZ30" s="197" t="s">
        <v>110</v>
      </c>
      <c r="TAA30" s="198"/>
      <c r="TAB30" s="1"/>
      <c r="TAC30" s="195">
        <v>28</v>
      </c>
      <c r="TAD30" s="376" t="s">
        <v>984</v>
      </c>
      <c r="TAP30" s="197" t="s">
        <v>110</v>
      </c>
      <c r="TAQ30" s="198"/>
      <c r="TAR30" s="1"/>
      <c r="TAS30" s="195">
        <v>28</v>
      </c>
      <c r="TAT30" s="376" t="s">
        <v>984</v>
      </c>
      <c r="TBF30" s="197" t="s">
        <v>110</v>
      </c>
      <c r="TBG30" s="198"/>
      <c r="TBH30" s="1"/>
      <c r="TBI30" s="195">
        <v>28</v>
      </c>
      <c r="TBJ30" s="376" t="s">
        <v>984</v>
      </c>
      <c r="TBV30" s="197" t="s">
        <v>110</v>
      </c>
      <c r="TBW30" s="198"/>
      <c r="TBX30" s="1"/>
      <c r="TBY30" s="195">
        <v>28</v>
      </c>
      <c r="TBZ30" s="376" t="s">
        <v>984</v>
      </c>
      <c r="TCL30" s="197" t="s">
        <v>110</v>
      </c>
      <c r="TCM30" s="198"/>
      <c r="TCN30" s="1"/>
      <c r="TCO30" s="195">
        <v>28</v>
      </c>
      <c r="TCP30" s="376" t="s">
        <v>984</v>
      </c>
      <c r="TDB30" s="197" t="s">
        <v>110</v>
      </c>
      <c r="TDC30" s="198"/>
      <c r="TDD30" s="1"/>
      <c r="TDE30" s="195">
        <v>28</v>
      </c>
      <c r="TDF30" s="376" t="s">
        <v>984</v>
      </c>
      <c r="TDR30" s="197" t="s">
        <v>110</v>
      </c>
      <c r="TDS30" s="198"/>
      <c r="TDT30" s="1"/>
      <c r="TDU30" s="195">
        <v>28</v>
      </c>
      <c r="TDV30" s="376" t="s">
        <v>984</v>
      </c>
      <c r="TEH30" s="197" t="s">
        <v>110</v>
      </c>
      <c r="TEI30" s="198"/>
      <c r="TEJ30" s="1"/>
      <c r="TEK30" s="195">
        <v>28</v>
      </c>
      <c r="TEL30" s="376" t="s">
        <v>984</v>
      </c>
      <c r="TEX30" s="197" t="s">
        <v>110</v>
      </c>
      <c r="TEY30" s="198"/>
      <c r="TEZ30" s="1"/>
      <c r="TFA30" s="195">
        <v>28</v>
      </c>
      <c r="TFB30" s="376" t="s">
        <v>984</v>
      </c>
      <c r="TFN30" s="197" t="s">
        <v>110</v>
      </c>
      <c r="TFO30" s="198"/>
      <c r="TFP30" s="1"/>
      <c r="TFQ30" s="195">
        <v>28</v>
      </c>
      <c r="TFR30" s="376" t="s">
        <v>984</v>
      </c>
      <c r="TGD30" s="197" t="s">
        <v>110</v>
      </c>
      <c r="TGE30" s="198"/>
      <c r="TGF30" s="1"/>
      <c r="TGG30" s="195">
        <v>28</v>
      </c>
      <c r="TGH30" s="376" t="s">
        <v>984</v>
      </c>
      <c r="TGT30" s="197" t="s">
        <v>110</v>
      </c>
      <c r="TGU30" s="198"/>
      <c r="TGV30" s="1"/>
      <c r="TGW30" s="195">
        <v>28</v>
      </c>
      <c r="TGX30" s="376" t="s">
        <v>984</v>
      </c>
      <c r="THJ30" s="197" t="s">
        <v>110</v>
      </c>
      <c r="THK30" s="198"/>
      <c r="THL30" s="1"/>
      <c r="THM30" s="195">
        <v>28</v>
      </c>
      <c r="THN30" s="376" t="s">
        <v>984</v>
      </c>
      <c r="THZ30" s="197" t="s">
        <v>110</v>
      </c>
      <c r="TIA30" s="198"/>
      <c r="TIB30" s="1"/>
      <c r="TIC30" s="195">
        <v>28</v>
      </c>
      <c r="TID30" s="376" t="s">
        <v>984</v>
      </c>
      <c r="TIP30" s="197" t="s">
        <v>110</v>
      </c>
      <c r="TIQ30" s="198"/>
      <c r="TIR30" s="1"/>
      <c r="TIS30" s="195">
        <v>28</v>
      </c>
      <c r="TIT30" s="376" t="s">
        <v>984</v>
      </c>
      <c r="TJF30" s="197" t="s">
        <v>110</v>
      </c>
      <c r="TJG30" s="198"/>
      <c r="TJH30" s="1"/>
      <c r="TJI30" s="195">
        <v>28</v>
      </c>
      <c r="TJJ30" s="376" t="s">
        <v>984</v>
      </c>
      <c r="TJV30" s="197" t="s">
        <v>110</v>
      </c>
      <c r="TJW30" s="198"/>
      <c r="TJX30" s="1"/>
      <c r="TJY30" s="195">
        <v>28</v>
      </c>
      <c r="TJZ30" s="376" t="s">
        <v>984</v>
      </c>
      <c r="TKL30" s="197" t="s">
        <v>110</v>
      </c>
      <c r="TKM30" s="198"/>
      <c r="TKN30" s="1"/>
      <c r="TKO30" s="195">
        <v>28</v>
      </c>
      <c r="TKP30" s="376" t="s">
        <v>984</v>
      </c>
      <c r="TLB30" s="197" t="s">
        <v>110</v>
      </c>
      <c r="TLC30" s="198"/>
      <c r="TLD30" s="1"/>
      <c r="TLE30" s="195">
        <v>28</v>
      </c>
      <c r="TLF30" s="376" t="s">
        <v>984</v>
      </c>
      <c r="TLR30" s="197" t="s">
        <v>110</v>
      </c>
      <c r="TLS30" s="198"/>
      <c r="TLT30" s="1"/>
      <c r="TLU30" s="195">
        <v>28</v>
      </c>
      <c r="TLV30" s="376" t="s">
        <v>984</v>
      </c>
      <c r="TMH30" s="197" t="s">
        <v>110</v>
      </c>
      <c r="TMI30" s="198"/>
      <c r="TMJ30" s="1"/>
      <c r="TMK30" s="195">
        <v>28</v>
      </c>
      <c r="TML30" s="376" t="s">
        <v>984</v>
      </c>
      <c r="TMX30" s="197" t="s">
        <v>110</v>
      </c>
      <c r="TMY30" s="198"/>
      <c r="TMZ30" s="1"/>
      <c r="TNA30" s="195">
        <v>28</v>
      </c>
      <c r="TNB30" s="376" t="s">
        <v>984</v>
      </c>
      <c r="TNN30" s="197" t="s">
        <v>110</v>
      </c>
      <c r="TNO30" s="198"/>
      <c r="TNP30" s="1"/>
      <c r="TNQ30" s="195">
        <v>28</v>
      </c>
      <c r="TNR30" s="376" t="s">
        <v>984</v>
      </c>
      <c r="TOD30" s="197" t="s">
        <v>110</v>
      </c>
      <c r="TOE30" s="198"/>
      <c r="TOF30" s="1"/>
      <c r="TOG30" s="195">
        <v>28</v>
      </c>
      <c r="TOH30" s="376" t="s">
        <v>984</v>
      </c>
      <c r="TOT30" s="197" t="s">
        <v>110</v>
      </c>
      <c r="TOU30" s="198"/>
      <c r="TOV30" s="1"/>
      <c r="TOW30" s="195">
        <v>28</v>
      </c>
      <c r="TOX30" s="376" t="s">
        <v>984</v>
      </c>
      <c r="TPJ30" s="197" t="s">
        <v>110</v>
      </c>
      <c r="TPK30" s="198"/>
      <c r="TPL30" s="1"/>
      <c r="TPM30" s="195">
        <v>28</v>
      </c>
      <c r="TPN30" s="376" t="s">
        <v>984</v>
      </c>
      <c r="TPZ30" s="197" t="s">
        <v>110</v>
      </c>
      <c r="TQA30" s="198"/>
      <c r="TQB30" s="1"/>
      <c r="TQC30" s="195">
        <v>28</v>
      </c>
      <c r="TQD30" s="376" t="s">
        <v>984</v>
      </c>
      <c r="TQP30" s="197" t="s">
        <v>110</v>
      </c>
      <c r="TQQ30" s="198"/>
      <c r="TQR30" s="1"/>
      <c r="TQS30" s="195">
        <v>28</v>
      </c>
      <c r="TQT30" s="376" t="s">
        <v>984</v>
      </c>
      <c r="TRF30" s="197" t="s">
        <v>110</v>
      </c>
      <c r="TRG30" s="198"/>
      <c r="TRH30" s="1"/>
      <c r="TRI30" s="195">
        <v>28</v>
      </c>
      <c r="TRJ30" s="376" t="s">
        <v>984</v>
      </c>
      <c r="TRV30" s="197" t="s">
        <v>110</v>
      </c>
      <c r="TRW30" s="198"/>
      <c r="TRX30" s="1"/>
      <c r="TRY30" s="195">
        <v>28</v>
      </c>
      <c r="TRZ30" s="376" t="s">
        <v>984</v>
      </c>
      <c r="TSL30" s="197" t="s">
        <v>110</v>
      </c>
      <c r="TSM30" s="198"/>
      <c r="TSN30" s="1"/>
      <c r="TSO30" s="195">
        <v>28</v>
      </c>
      <c r="TSP30" s="376" t="s">
        <v>984</v>
      </c>
      <c r="TTB30" s="197" t="s">
        <v>110</v>
      </c>
      <c r="TTC30" s="198"/>
      <c r="TTD30" s="1"/>
      <c r="TTE30" s="195">
        <v>28</v>
      </c>
      <c r="TTF30" s="376" t="s">
        <v>984</v>
      </c>
      <c r="TTR30" s="197" t="s">
        <v>110</v>
      </c>
      <c r="TTS30" s="198"/>
      <c r="TTT30" s="1"/>
      <c r="TTU30" s="195">
        <v>28</v>
      </c>
      <c r="TTV30" s="376" t="s">
        <v>984</v>
      </c>
      <c r="TUH30" s="197" t="s">
        <v>110</v>
      </c>
      <c r="TUI30" s="198"/>
      <c r="TUJ30" s="1"/>
      <c r="TUK30" s="195">
        <v>28</v>
      </c>
      <c r="TUL30" s="376" t="s">
        <v>984</v>
      </c>
      <c r="TUX30" s="197" t="s">
        <v>110</v>
      </c>
      <c r="TUY30" s="198"/>
      <c r="TUZ30" s="1"/>
      <c r="TVA30" s="195">
        <v>28</v>
      </c>
      <c r="TVB30" s="376" t="s">
        <v>984</v>
      </c>
      <c r="TVN30" s="197" t="s">
        <v>110</v>
      </c>
      <c r="TVO30" s="198"/>
      <c r="TVP30" s="1"/>
      <c r="TVQ30" s="195">
        <v>28</v>
      </c>
      <c r="TVR30" s="376" t="s">
        <v>984</v>
      </c>
      <c r="TWD30" s="197" t="s">
        <v>110</v>
      </c>
      <c r="TWE30" s="198"/>
      <c r="TWF30" s="1"/>
      <c r="TWG30" s="195">
        <v>28</v>
      </c>
      <c r="TWH30" s="376" t="s">
        <v>984</v>
      </c>
      <c r="TWT30" s="197" t="s">
        <v>110</v>
      </c>
      <c r="TWU30" s="198"/>
      <c r="TWV30" s="1"/>
      <c r="TWW30" s="195">
        <v>28</v>
      </c>
      <c r="TWX30" s="376" t="s">
        <v>984</v>
      </c>
      <c r="TXJ30" s="197" t="s">
        <v>110</v>
      </c>
      <c r="TXK30" s="198"/>
      <c r="TXL30" s="1"/>
      <c r="TXM30" s="195">
        <v>28</v>
      </c>
      <c r="TXN30" s="376" t="s">
        <v>984</v>
      </c>
      <c r="TXZ30" s="197" t="s">
        <v>110</v>
      </c>
      <c r="TYA30" s="198"/>
      <c r="TYB30" s="1"/>
      <c r="TYC30" s="195">
        <v>28</v>
      </c>
      <c r="TYD30" s="376" t="s">
        <v>984</v>
      </c>
      <c r="TYP30" s="197" t="s">
        <v>110</v>
      </c>
      <c r="TYQ30" s="198"/>
      <c r="TYR30" s="1"/>
      <c r="TYS30" s="195">
        <v>28</v>
      </c>
      <c r="TYT30" s="376" t="s">
        <v>984</v>
      </c>
      <c r="TZF30" s="197" t="s">
        <v>110</v>
      </c>
      <c r="TZG30" s="198"/>
      <c r="TZH30" s="1"/>
      <c r="TZI30" s="195">
        <v>28</v>
      </c>
      <c r="TZJ30" s="376" t="s">
        <v>984</v>
      </c>
      <c r="TZV30" s="197" t="s">
        <v>110</v>
      </c>
      <c r="TZW30" s="198"/>
      <c r="TZX30" s="1"/>
      <c r="TZY30" s="195">
        <v>28</v>
      </c>
      <c r="TZZ30" s="376" t="s">
        <v>984</v>
      </c>
      <c r="UAL30" s="197" t="s">
        <v>110</v>
      </c>
      <c r="UAM30" s="198"/>
      <c r="UAN30" s="1"/>
      <c r="UAO30" s="195">
        <v>28</v>
      </c>
      <c r="UAP30" s="376" t="s">
        <v>984</v>
      </c>
      <c r="UBB30" s="197" t="s">
        <v>110</v>
      </c>
      <c r="UBC30" s="198"/>
      <c r="UBD30" s="1"/>
      <c r="UBE30" s="195">
        <v>28</v>
      </c>
      <c r="UBF30" s="376" t="s">
        <v>984</v>
      </c>
      <c r="UBR30" s="197" t="s">
        <v>110</v>
      </c>
      <c r="UBS30" s="198"/>
      <c r="UBT30" s="1"/>
      <c r="UBU30" s="195">
        <v>28</v>
      </c>
      <c r="UBV30" s="376" t="s">
        <v>984</v>
      </c>
      <c r="UCH30" s="197" t="s">
        <v>110</v>
      </c>
      <c r="UCI30" s="198"/>
      <c r="UCJ30" s="1"/>
      <c r="UCK30" s="195">
        <v>28</v>
      </c>
      <c r="UCL30" s="376" t="s">
        <v>984</v>
      </c>
      <c r="UCX30" s="197" t="s">
        <v>110</v>
      </c>
      <c r="UCY30" s="198"/>
      <c r="UCZ30" s="1"/>
      <c r="UDA30" s="195">
        <v>28</v>
      </c>
      <c r="UDB30" s="376" t="s">
        <v>984</v>
      </c>
      <c r="UDN30" s="197" t="s">
        <v>110</v>
      </c>
      <c r="UDO30" s="198"/>
      <c r="UDP30" s="1"/>
      <c r="UDQ30" s="195">
        <v>28</v>
      </c>
      <c r="UDR30" s="376" t="s">
        <v>984</v>
      </c>
      <c r="UED30" s="197" t="s">
        <v>110</v>
      </c>
      <c r="UEE30" s="198"/>
      <c r="UEF30" s="1"/>
      <c r="UEG30" s="195">
        <v>28</v>
      </c>
      <c r="UEH30" s="376" t="s">
        <v>984</v>
      </c>
      <c r="UET30" s="197" t="s">
        <v>110</v>
      </c>
      <c r="UEU30" s="198"/>
      <c r="UEV30" s="1"/>
      <c r="UEW30" s="195">
        <v>28</v>
      </c>
      <c r="UEX30" s="376" t="s">
        <v>984</v>
      </c>
      <c r="UFJ30" s="197" t="s">
        <v>110</v>
      </c>
      <c r="UFK30" s="198"/>
      <c r="UFL30" s="1"/>
      <c r="UFM30" s="195">
        <v>28</v>
      </c>
      <c r="UFN30" s="376" t="s">
        <v>984</v>
      </c>
      <c r="UFZ30" s="197" t="s">
        <v>110</v>
      </c>
      <c r="UGA30" s="198"/>
      <c r="UGB30" s="1"/>
      <c r="UGC30" s="195">
        <v>28</v>
      </c>
      <c r="UGD30" s="376" t="s">
        <v>984</v>
      </c>
      <c r="UGP30" s="197" t="s">
        <v>110</v>
      </c>
      <c r="UGQ30" s="198"/>
      <c r="UGR30" s="1"/>
      <c r="UGS30" s="195">
        <v>28</v>
      </c>
      <c r="UGT30" s="376" t="s">
        <v>984</v>
      </c>
      <c r="UHF30" s="197" t="s">
        <v>110</v>
      </c>
      <c r="UHG30" s="198"/>
      <c r="UHH30" s="1"/>
      <c r="UHI30" s="195">
        <v>28</v>
      </c>
      <c r="UHJ30" s="376" t="s">
        <v>984</v>
      </c>
      <c r="UHV30" s="197" t="s">
        <v>110</v>
      </c>
      <c r="UHW30" s="198"/>
      <c r="UHX30" s="1"/>
      <c r="UHY30" s="195">
        <v>28</v>
      </c>
      <c r="UHZ30" s="376" t="s">
        <v>984</v>
      </c>
      <c r="UIL30" s="197" t="s">
        <v>110</v>
      </c>
      <c r="UIM30" s="198"/>
      <c r="UIN30" s="1"/>
      <c r="UIO30" s="195">
        <v>28</v>
      </c>
      <c r="UIP30" s="376" t="s">
        <v>984</v>
      </c>
      <c r="UJB30" s="197" t="s">
        <v>110</v>
      </c>
      <c r="UJC30" s="198"/>
      <c r="UJD30" s="1"/>
      <c r="UJE30" s="195">
        <v>28</v>
      </c>
      <c r="UJF30" s="376" t="s">
        <v>984</v>
      </c>
      <c r="UJR30" s="197" t="s">
        <v>110</v>
      </c>
      <c r="UJS30" s="198"/>
      <c r="UJT30" s="1"/>
      <c r="UJU30" s="195">
        <v>28</v>
      </c>
      <c r="UJV30" s="376" t="s">
        <v>984</v>
      </c>
      <c r="UKH30" s="197" t="s">
        <v>110</v>
      </c>
      <c r="UKI30" s="198"/>
      <c r="UKJ30" s="1"/>
      <c r="UKK30" s="195">
        <v>28</v>
      </c>
      <c r="UKL30" s="376" t="s">
        <v>984</v>
      </c>
      <c r="UKX30" s="197" t="s">
        <v>110</v>
      </c>
      <c r="UKY30" s="198"/>
      <c r="UKZ30" s="1"/>
      <c r="ULA30" s="195">
        <v>28</v>
      </c>
      <c r="ULB30" s="376" t="s">
        <v>984</v>
      </c>
      <c r="ULN30" s="197" t="s">
        <v>110</v>
      </c>
      <c r="ULO30" s="198"/>
      <c r="ULP30" s="1"/>
      <c r="ULQ30" s="195">
        <v>28</v>
      </c>
      <c r="ULR30" s="376" t="s">
        <v>984</v>
      </c>
      <c r="UMD30" s="197" t="s">
        <v>110</v>
      </c>
      <c r="UME30" s="198"/>
      <c r="UMF30" s="1"/>
      <c r="UMG30" s="195">
        <v>28</v>
      </c>
      <c r="UMH30" s="376" t="s">
        <v>984</v>
      </c>
      <c r="UMT30" s="197" t="s">
        <v>110</v>
      </c>
      <c r="UMU30" s="198"/>
      <c r="UMV30" s="1"/>
      <c r="UMW30" s="195">
        <v>28</v>
      </c>
      <c r="UMX30" s="376" t="s">
        <v>984</v>
      </c>
      <c r="UNJ30" s="197" t="s">
        <v>110</v>
      </c>
      <c r="UNK30" s="198"/>
      <c r="UNL30" s="1"/>
      <c r="UNM30" s="195">
        <v>28</v>
      </c>
      <c r="UNN30" s="376" t="s">
        <v>984</v>
      </c>
      <c r="UNZ30" s="197" t="s">
        <v>110</v>
      </c>
      <c r="UOA30" s="198"/>
      <c r="UOB30" s="1"/>
      <c r="UOC30" s="195">
        <v>28</v>
      </c>
      <c r="UOD30" s="376" t="s">
        <v>984</v>
      </c>
      <c r="UOP30" s="197" t="s">
        <v>110</v>
      </c>
      <c r="UOQ30" s="198"/>
      <c r="UOR30" s="1"/>
      <c r="UOS30" s="195">
        <v>28</v>
      </c>
      <c r="UOT30" s="376" t="s">
        <v>984</v>
      </c>
      <c r="UPF30" s="197" t="s">
        <v>110</v>
      </c>
      <c r="UPG30" s="198"/>
      <c r="UPH30" s="1"/>
      <c r="UPI30" s="195">
        <v>28</v>
      </c>
      <c r="UPJ30" s="376" t="s">
        <v>984</v>
      </c>
      <c r="UPV30" s="197" t="s">
        <v>110</v>
      </c>
      <c r="UPW30" s="198"/>
      <c r="UPX30" s="1"/>
      <c r="UPY30" s="195">
        <v>28</v>
      </c>
      <c r="UPZ30" s="376" t="s">
        <v>984</v>
      </c>
      <c r="UQL30" s="197" t="s">
        <v>110</v>
      </c>
      <c r="UQM30" s="198"/>
      <c r="UQN30" s="1"/>
      <c r="UQO30" s="195">
        <v>28</v>
      </c>
      <c r="UQP30" s="376" t="s">
        <v>984</v>
      </c>
      <c r="URB30" s="197" t="s">
        <v>110</v>
      </c>
      <c r="URC30" s="198"/>
      <c r="URD30" s="1"/>
      <c r="URE30" s="195">
        <v>28</v>
      </c>
      <c r="URF30" s="376" t="s">
        <v>984</v>
      </c>
      <c r="URR30" s="197" t="s">
        <v>110</v>
      </c>
      <c r="URS30" s="198"/>
      <c r="URT30" s="1"/>
      <c r="URU30" s="195">
        <v>28</v>
      </c>
      <c r="URV30" s="376" t="s">
        <v>984</v>
      </c>
      <c r="USH30" s="197" t="s">
        <v>110</v>
      </c>
      <c r="USI30" s="198"/>
      <c r="USJ30" s="1"/>
      <c r="USK30" s="195">
        <v>28</v>
      </c>
      <c r="USL30" s="376" t="s">
        <v>984</v>
      </c>
      <c r="USX30" s="197" t="s">
        <v>110</v>
      </c>
      <c r="USY30" s="198"/>
      <c r="USZ30" s="1"/>
      <c r="UTA30" s="195">
        <v>28</v>
      </c>
      <c r="UTB30" s="376" t="s">
        <v>984</v>
      </c>
      <c r="UTN30" s="197" t="s">
        <v>110</v>
      </c>
      <c r="UTO30" s="198"/>
      <c r="UTP30" s="1"/>
      <c r="UTQ30" s="195">
        <v>28</v>
      </c>
      <c r="UTR30" s="376" t="s">
        <v>984</v>
      </c>
      <c r="UUD30" s="197" t="s">
        <v>110</v>
      </c>
      <c r="UUE30" s="198"/>
      <c r="UUF30" s="1"/>
      <c r="UUG30" s="195">
        <v>28</v>
      </c>
      <c r="UUH30" s="376" t="s">
        <v>984</v>
      </c>
      <c r="UUT30" s="197" t="s">
        <v>110</v>
      </c>
      <c r="UUU30" s="198"/>
      <c r="UUV30" s="1"/>
      <c r="UUW30" s="195">
        <v>28</v>
      </c>
      <c r="UUX30" s="376" t="s">
        <v>984</v>
      </c>
      <c r="UVJ30" s="197" t="s">
        <v>110</v>
      </c>
      <c r="UVK30" s="198"/>
      <c r="UVL30" s="1"/>
      <c r="UVM30" s="195">
        <v>28</v>
      </c>
      <c r="UVN30" s="376" t="s">
        <v>984</v>
      </c>
      <c r="UVZ30" s="197" t="s">
        <v>110</v>
      </c>
      <c r="UWA30" s="198"/>
      <c r="UWB30" s="1"/>
      <c r="UWC30" s="195">
        <v>28</v>
      </c>
      <c r="UWD30" s="376" t="s">
        <v>984</v>
      </c>
      <c r="UWP30" s="197" t="s">
        <v>110</v>
      </c>
      <c r="UWQ30" s="198"/>
      <c r="UWR30" s="1"/>
      <c r="UWS30" s="195">
        <v>28</v>
      </c>
      <c r="UWT30" s="376" t="s">
        <v>984</v>
      </c>
      <c r="UXF30" s="197" t="s">
        <v>110</v>
      </c>
      <c r="UXG30" s="198"/>
      <c r="UXH30" s="1"/>
      <c r="UXI30" s="195">
        <v>28</v>
      </c>
      <c r="UXJ30" s="376" t="s">
        <v>984</v>
      </c>
      <c r="UXV30" s="197" t="s">
        <v>110</v>
      </c>
      <c r="UXW30" s="198"/>
      <c r="UXX30" s="1"/>
      <c r="UXY30" s="195">
        <v>28</v>
      </c>
      <c r="UXZ30" s="376" t="s">
        <v>984</v>
      </c>
      <c r="UYL30" s="197" t="s">
        <v>110</v>
      </c>
      <c r="UYM30" s="198"/>
      <c r="UYN30" s="1"/>
      <c r="UYO30" s="195">
        <v>28</v>
      </c>
      <c r="UYP30" s="376" t="s">
        <v>984</v>
      </c>
      <c r="UZB30" s="197" t="s">
        <v>110</v>
      </c>
      <c r="UZC30" s="198"/>
      <c r="UZD30" s="1"/>
      <c r="UZE30" s="195">
        <v>28</v>
      </c>
      <c r="UZF30" s="376" t="s">
        <v>984</v>
      </c>
      <c r="UZR30" s="197" t="s">
        <v>110</v>
      </c>
      <c r="UZS30" s="198"/>
      <c r="UZT30" s="1"/>
      <c r="UZU30" s="195">
        <v>28</v>
      </c>
      <c r="UZV30" s="376" t="s">
        <v>984</v>
      </c>
      <c r="VAH30" s="197" t="s">
        <v>110</v>
      </c>
      <c r="VAI30" s="198"/>
      <c r="VAJ30" s="1"/>
      <c r="VAK30" s="195">
        <v>28</v>
      </c>
      <c r="VAL30" s="376" t="s">
        <v>984</v>
      </c>
      <c r="VAX30" s="197" t="s">
        <v>110</v>
      </c>
      <c r="VAY30" s="198"/>
      <c r="VAZ30" s="1"/>
      <c r="VBA30" s="195">
        <v>28</v>
      </c>
      <c r="VBB30" s="376" t="s">
        <v>984</v>
      </c>
      <c r="VBN30" s="197" t="s">
        <v>110</v>
      </c>
      <c r="VBO30" s="198"/>
      <c r="VBP30" s="1"/>
      <c r="VBQ30" s="195">
        <v>28</v>
      </c>
      <c r="VBR30" s="376" t="s">
        <v>984</v>
      </c>
      <c r="VCD30" s="197" t="s">
        <v>110</v>
      </c>
      <c r="VCE30" s="198"/>
      <c r="VCF30" s="1"/>
      <c r="VCG30" s="195">
        <v>28</v>
      </c>
      <c r="VCH30" s="376" t="s">
        <v>984</v>
      </c>
      <c r="VCT30" s="197" t="s">
        <v>110</v>
      </c>
      <c r="VCU30" s="198"/>
      <c r="VCV30" s="1"/>
      <c r="VCW30" s="195">
        <v>28</v>
      </c>
      <c r="VCX30" s="376" t="s">
        <v>984</v>
      </c>
      <c r="VDJ30" s="197" t="s">
        <v>110</v>
      </c>
      <c r="VDK30" s="198"/>
      <c r="VDL30" s="1"/>
      <c r="VDM30" s="195">
        <v>28</v>
      </c>
      <c r="VDN30" s="376" t="s">
        <v>984</v>
      </c>
      <c r="VDZ30" s="197" t="s">
        <v>110</v>
      </c>
      <c r="VEA30" s="198"/>
      <c r="VEB30" s="1"/>
      <c r="VEC30" s="195">
        <v>28</v>
      </c>
      <c r="VED30" s="376" t="s">
        <v>984</v>
      </c>
      <c r="VEP30" s="197" t="s">
        <v>110</v>
      </c>
      <c r="VEQ30" s="198"/>
      <c r="VER30" s="1"/>
      <c r="VES30" s="195">
        <v>28</v>
      </c>
      <c r="VET30" s="376" t="s">
        <v>984</v>
      </c>
      <c r="VFF30" s="197" t="s">
        <v>110</v>
      </c>
      <c r="VFG30" s="198"/>
      <c r="VFH30" s="1"/>
      <c r="VFI30" s="195">
        <v>28</v>
      </c>
      <c r="VFJ30" s="376" t="s">
        <v>984</v>
      </c>
      <c r="VFV30" s="197" t="s">
        <v>110</v>
      </c>
      <c r="VFW30" s="198"/>
      <c r="VFX30" s="1"/>
      <c r="VFY30" s="195">
        <v>28</v>
      </c>
      <c r="VFZ30" s="376" t="s">
        <v>984</v>
      </c>
      <c r="VGL30" s="197" t="s">
        <v>110</v>
      </c>
      <c r="VGM30" s="198"/>
      <c r="VGN30" s="1"/>
      <c r="VGO30" s="195">
        <v>28</v>
      </c>
      <c r="VGP30" s="376" t="s">
        <v>984</v>
      </c>
      <c r="VHB30" s="197" t="s">
        <v>110</v>
      </c>
      <c r="VHC30" s="198"/>
      <c r="VHD30" s="1"/>
      <c r="VHE30" s="195">
        <v>28</v>
      </c>
      <c r="VHF30" s="376" t="s">
        <v>984</v>
      </c>
      <c r="VHR30" s="197" t="s">
        <v>110</v>
      </c>
      <c r="VHS30" s="198"/>
      <c r="VHT30" s="1"/>
      <c r="VHU30" s="195">
        <v>28</v>
      </c>
      <c r="VHV30" s="376" t="s">
        <v>984</v>
      </c>
      <c r="VIH30" s="197" t="s">
        <v>110</v>
      </c>
      <c r="VII30" s="198"/>
      <c r="VIJ30" s="1"/>
      <c r="VIK30" s="195">
        <v>28</v>
      </c>
      <c r="VIL30" s="376" t="s">
        <v>984</v>
      </c>
      <c r="VIX30" s="197" t="s">
        <v>110</v>
      </c>
      <c r="VIY30" s="198"/>
      <c r="VIZ30" s="1"/>
      <c r="VJA30" s="195">
        <v>28</v>
      </c>
      <c r="VJB30" s="376" t="s">
        <v>984</v>
      </c>
      <c r="VJN30" s="197" t="s">
        <v>110</v>
      </c>
      <c r="VJO30" s="198"/>
      <c r="VJP30" s="1"/>
      <c r="VJQ30" s="195">
        <v>28</v>
      </c>
      <c r="VJR30" s="376" t="s">
        <v>984</v>
      </c>
      <c r="VKD30" s="197" t="s">
        <v>110</v>
      </c>
      <c r="VKE30" s="198"/>
      <c r="VKF30" s="1"/>
      <c r="VKG30" s="195">
        <v>28</v>
      </c>
      <c r="VKH30" s="376" t="s">
        <v>984</v>
      </c>
      <c r="VKT30" s="197" t="s">
        <v>110</v>
      </c>
      <c r="VKU30" s="198"/>
      <c r="VKV30" s="1"/>
      <c r="VKW30" s="195">
        <v>28</v>
      </c>
      <c r="VKX30" s="376" t="s">
        <v>984</v>
      </c>
      <c r="VLJ30" s="197" t="s">
        <v>110</v>
      </c>
      <c r="VLK30" s="198"/>
      <c r="VLL30" s="1"/>
      <c r="VLM30" s="195">
        <v>28</v>
      </c>
      <c r="VLN30" s="376" t="s">
        <v>984</v>
      </c>
      <c r="VLZ30" s="197" t="s">
        <v>110</v>
      </c>
      <c r="VMA30" s="198"/>
      <c r="VMB30" s="1"/>
      <c r="VMC30" s="195">
        <v>28</v>
      </c>
      <c r="VMD30" s="376" t="s">
        <v>984</v>
      </c>
      <c r="VMP30" s="197" t="s">
        <v>110</v>
      </c>
      <c r="VMQ30" s="198"/>
      <c r="VMR30" s="1"/>
      <c r="VMS30" s="195">
        <v>28</v>
      </c>
      <c r="VMT30" s="376" t="s">
        <v>984</v>
      </c>
      <c r="VNF30" s="197" t="s">
        <v>110</v>
      </c>
      <c r="VNG30" s="198"/>
      <c r="VNH30" s="1"/>
      <c r="VNI30" s="195">
        <v>28</v>
      </c>
      <c r="VNJ30" s="376" t="s">
        <v>984</v>
      </c>
      <c r="VNV30" s="197" t="s">
        <v>110</v>
      </c>
      <c r="VNW30" s="198"/>
      <c r="VNX30" s="1"/>
      <c r="VNY30" s="195">
        <v>28</v>
      </c>
      <c r="VNZ30" s="376" t="s">
        <v>984</v>
      </c>
      <c r="VOL30" s="197" t="s">
        <v>110</v>
      </c>
      <c r="VOM30" s="198"/>
      <c r="VON30" s="1"/>
      <c r="VOO30" s="195">
        <v>28</v>
      </c>
      <c r="VOP30" s="376" t="s">
        <v>984</v>
      </c>
      <c r="VPB30" s="197" t="s">
        <v>110</v>
      </c>
      <c r="VPC30" s="198"/>
      <c r="VPD30" s="1"/>
      <c r="VPE30" s="195">
        <v>28</v>
      </c>
      <c r="VPF30" s="376" t="s">
        <v>984</v>
      </c>
      <c r="VPR30" s="197" t="s">
        <v>110</v>
      </c>
      <c r="VPS30" s="198"/>
      <c r="VPT30" s="1"/>
      <c r="VPU30" s="195">
        <v>28</v>
      </c>
      <c r="VPV30" s="376" t="s">
        <v>984</v>
      </c>
      <c r="VQH30" s="197" t="s">
        <v>110</v>
      </c>
      <c r="VQI30" s="198"/>
      <c r="VQJ30" s="1"/>
      <c r="VQK30" s="195">
        <v>28</v>
      </c>
      <c r="VQL30" s="376" t="s">
        <v>984</v>
      </c>
      <c r="VQX30" s="197" t="s">
        <v>110</v>
      </c>
      <c r="VQY30" s="198"/>
      <c r="VQZ30" s="1"/>
      <c r="VRA30" s="195">
        <v>28</v>
      </c>
      <c r="VRB30" s="376" t="s">
        <v>984</v>
      </c>
      <c r="VRN30" s="197" t="s">
        <v>110</v>
      </c>
      <c r="VRO30" s="198"/>
      <c r="VRP30" s="1"/>
      <c r="VRQ30" s="195">
        <v>28</v>
      </c>
      <c r="VRR30" s="376" t="s">
        <v>984</v>
      </c>
      <c r="VSD30" s="197" t="s">
        <v>110</v>
      </c>
      <c r="VSE30" s="198"/>
      <c r="VSF30" s="1"/>
      <c r="VSG30" s="195">
        <v>28</v>
      </c>
      <c r="VSH30" s="376" t="s">
        <v>984</v>
      </c>
      <c r="VST30" s="197" t="s">
        <v>110</v>
      </c>
      <c r="VSU30" s="198"/>
      <c r="VSV30" s="1"/>
      <c r="VSW30" s="195">
        <v>28</v>
      </c>
      <c r="VSX30" s="376" t="s">
        <v>984</v>
      </c>
      <c r="VTJ30" s="197" t="s">
        <v>110</v>
      </c>
      <c r="VTK30" s="198"/>
      <c r="VTL30" s="1"/>
      <c r="VTM30" s="195">
        <v>28</v>
      </c>
      <c r="VTN30" s="376" t="s">
        <v>984</v>
      </c>
      <c r="VTZ30" s="197" t="s">
        <v>110</v>
      </c>
      <c r="VUA30" s="198"/>
      <c r="VUB30" s="1"/>
      <c r="VUC30" s="195">
        <v>28</v>
      </c>
      <c r="VUD30" s="376" t="s">
        <v>984</v>
      </c>
      <c r="VUP30" s="197" t="s">
        <v>110</v>
      </c>
      <c r="VUQ30" s="198"/>
      <c r="VUR30" s="1"/>
      <c r="VUS30" s="195">
        <v>28</v>
      </c>
      <c r="VUT30" s="376" t="s">
        <v>984</v>
      </c>
      <c r="VVF30" s="197" t="s">
        <v>110</v>
      </c>
      <c r="VVG30" s="198"/>
      <c r="VVH30" s="1"/>
      <c r="VVI30" s="195">
        <v>28</v>
      </c>
      <c r="VVJ30" s="376" t="s">
        <v>984</v>
      </c>
      <c r="VVV30" s="197" t="s">
        <v>110</v>
      </c>
      <c r="VVW30" s="198"/>
      <c r="VVX30" s="1"/>
      <c r="VVY30" s="195">
        <v>28</v>
      </c>
      <c r="VVZ30" s="376" t="s">
        <v>984</v>
      </c>
      <c r="VWL30" s="197" t="s">
        <v>110</v>
      </c>
      <c r="VWM30" s="198"/>
      <c r="VWN30" s="1"/>
      <c r="VWO30" s="195">
        <v>28</v>
      </c>
      <c r="VWP30" s="376" t="s">
        <v>984</v>
      </c>
      <c r="VXB30" s="197" t="s">
        <v>110</v>
      </c>
      <c r="VXC30" s="198"/>
      <c r="VXD30" s="1"/>
      <c r="VXE30" s="195">
        <v>28</v>
      </c>
      <c r="VXF30" s="376" t="s">
        <v>984</v>
      </c>
      <c r="VXR30" s="197" t="s">
        <v>110</v>
      </c>
      <c r="VXS30" s="198"/>
      <c r="VXT30" s="1"/>
      <c r="VXU30" s="195">
        <v>28</v>
      </c>
      <c r="VXV30" s="376" t="s">
        <v>984</v>
      </c>
      <c r="VYH30" s="197" t="s">
        <v>110</v>
      </c>
      <c r="VYI30" s="198"/>
      <c r="VYJ30" s="1"/>
      <c r="VYK30" s="195">
        <v>28</v>
      </c>
      <c r="VYL30" s="376" t="s">
        <v>984</v>
      </c>
      <c r="VYX30" s="197" t="s">
        <v>110</v>
      </c>
      <c r="VYY30" s="198"/>
      <c r="VYZ30" s="1"/>
      <c r="VZA30" s="195">
        <v>28</v>
      </c>
      <c r="VZB30" s="376" t="s">
        <v>984</v>
      </c>
      <c r="VZN30" s="197" t="s">
        <v>110</v>
      </c>
      <c r="VZO30" s="198"/>
      <c r="VZP30" s="1"/>
      <c r="VZQ30" s="195">
        <v>28</v>
      </c>
      <c r="VZR30" s="376" t="s">
        <v>984</v>
      </c>
      <c r="WAD30" s="197" t="s">
        <v>110</v>
      </c>
      <c r="WAE30" s="198"/>
      <c r="WAF30" s="1"/>
      <c r="WAG30" s="195">
        <v>28</v>
      </c>
      <c r="WAH30" s="376" t="s">
        <v>984</v>
      </c>
      <c r="WAT30" s="197" t="s">
        <v>110</v>
      </c>
      <c r="WAU30" s="198"/>
      <c r="WAV30" s="1"/>
      <c r="WAW30" s="195">
        <v>28</v>
      </c>
      <c r="WAX30" s="376" t="s">
        <v>984</v>
      </c>
      <c r="WBJ30" s="197" t="s">
        <v>110</v>
      </c>
      <c r="WBK30" s="198"/>
      <c r="WBL30" s="1"/>
      <c r="WBM30" s="195">
        <v>28</v>
      </c>
      <c r="WBN30" s="376" t="s">
        <v>984</v>
      </c>
      <c r="WBZ30" s="197" t="s">
        <v>110</v>
      </c>
      <c r="WCA30" s="198"/>
      <c r="WCB30" s="1"/>
      <c r="WCC30" s="195">
        <v>28</v>
      </c>
      <c r="WCD30" s="376" t="s">
        <v>984</v>
      </c>
      <c r="WCP30" s="197" t="s">
        <v>110</v>
      </c>
      <c r="WCQ30" s="198"/>
      <c r="WCR30" s="1"/>
      <c r="WCS30" s="195">
        <v>28</v>
      </c>
      <c r="WCT30" s="376" t="s">
        <v>984</v>
      </c>
      <c r="WDF30" s="197" t="s">
        <v>110</v>
      </c>
      <c r="WDG30" s="198"/>
      <c r="WDH30" s="1"/>
      <c r="WDI30" s="195">
        <v>28</v>
      </c>
      <c r="WDJ30" s="376" t="s">
        <v>984</v>
      </c>
      <c r="WDV30" s="197" t="s">
        <v>110</v>
      </c>
      <c r="WDW30" s="198"/>
      <c r="WDX30" s="1"/>
      <c r="WDY30" s="195">
        <v>28</v>
      </c>
      <c r="WDZ30" s="376" t="s">
        <v>984</v>
      </c>
      <c r="WEL30" s="197" t="s">
        <v>110</v>
      </c>
      <c r="WEM30" s="198"/>
      <c r="WEN30" s="1"/>
      <c r="WEO30" s="195">
        <v>28</v>
      </c>
      <c r="WEP30" s="376" t="s">
        <v>984</v>
      </c>
      <c r="WFB30" s="197" t="s">
        <v>110</v>
      </c>
      <c r="WFC30" s="198"/>
      <c r="WFD30" s="1"/>
      <c r="WFE30" s="195">
        <v>28</v>
      </c>
      <c r="WFF30" s="376" t="s">
        <v>984</v>
      </c>
      <c r="WFR30" s="197" t="s">
        <v>110</v>
      </c>
      <c r="WFS30" s="198"/>
      <c r="WFT30" s="1"/>
      <c r="WFU30" s="195">
        <v>28</v>
      </c>
      <c r="WFV30" s="376" t="s">
        <v>984</v>
      </c>
      <c r="WGH30" s="197" t="s">
        <v>110</v>
      </c>
      <c r="WGI30" s="198"/>
      <c r="WGJ30" s="1"/>
      <c r="WGK30" s="195">
        <v>28</v>
      </c>
      <c r="WGL30" s="376" t="s">
        <v>984</v>
      </c>
      <c r="WGX30" s="197" t="s">
        <v>110</v>
      </c>
      <c r="WGY30" s="198"/>
      <c r="WGZ30" s="1"/>
      <c r="WHA30" s="195">
        <v>28</v>
      </c>
      <c r="WHB30" s="376" t="s">
        <v>984</v>
      </c>
      <c r="WHN30" s="197" t="s">
        <v>110</v>
      </c>
      <c r="WHO30" s="198"/>
      <c r="WHP30" s="1"/>
      <c r="WHQ30" s="195">
        <v>28</v>
      </c>
      <c r="WHR30" s="376" t="s">
        <v>984</v>
      </c>
      <c r="WID30" s="197" t="s">
        <v>110</v>
      </c>
      <c r="WIE30" s="198"/>
      <c r="WIF30" s="1"/>
      <c r="WIG30" s="195">
        <v>28</v>
      </c>
      <c r="WIH30" s="376" t="s">
        <v>984</v>
      </c>
      <c r="WIT30" s="197" t="s">
        <v>110</v>
      </c>
      <c r="WIU30" s="198"/>
      <c r="WIV30" s="1"/>
      <c r="WIW30" s="195">
        <v>28</v>
      </c>
      <c r="WIX30" s="376" t="s">
        <v>984</v>
      </c>
      <c r="WJJ30" s="197" t="s">
        <v>110</v>
      </c>
      <c r="WJK30" s="198"/>
      <c r="WJL30" s="1"/>
      <c r="WJM30" s="195">
        <v>28</v>
      </c>
      <c r="WJN30" s="376" t="s">
        <v>984</v>
      </c>
      <c r="WJZ30" s="197" t="s">
        <v>110</v>
      </c>
      <c r="WKA30" s="198"/>
      <c r="WKB30" s="1"/>
      <c r="WKC30" s="195">
        <v>28</v>
      </c>
      <c r="WKD30" s="376" t="s">
        <v>984</v>
      </c>
      <c r="WKP30" s="197" t="s">
        <v>110</v>
      </c>
      <c r="WKQ30" s="198"/>
      <c r="WKR30" s="1"/>
      <c r="WKS30" s="195">
        <v>28</v>
      </c>
      <c r="WKT30" s="376" t="s">
        <v>984</v>
      </c>
      <c r="WLF30" s="197" t="s">
        <v>110</v>
      </c>
      <c r="WLG30" s="198"/>
      <c r="WLH30" s="1"/>
      <c r="WLI30" s="195">
        <v>28</v>
      </c>
      <c r="WLJ30" s="376" t="s">
        <v>984</v>
      </c>
      <c r="WLV30" s="197" t="s">
        <v>110</v>
      </c>
      <c r="WLW30" s="198"/>
      <c r="WLX30" s="1"/>
      <c r="WLY30" s="195">
        <v>28</v>
      </c>
      <c r="WLZ30" s="376" t="s">
        <v>984</v>
      </c>
      <c r="WML30" s="197" t="s">
        <v>110</v>
      </c>
      <c r="WMM30" s="198"/>
      <c r="WMN30" s="1"/>
      <c r="WMO30" s="195">
        <v>28</v>
      </c>
      <c r="WMP30" s="376" t="s">
        <v>984</v>
      </c>
      <c r="WNB30" s="197" t="s">
        <v>110</v>
      </c>
      <c r="WNC30" s="198"/>
      <c r="WND30" s="1"/>
      <c r="WNE30" s="195">
        <v>28</v>
      </c>
      <c r="WNF30" s="376" t="s">
        <v>984</v>
      </c>
      <c r="WNR30" s="197" t="s">
        <v>110</v>
      </c>
      <c r="WNS30" s="198"/>
      <c r="WNT30" s="1"/>
      <c r="WNU30" s="195">
        <v>28</v>
      </c>
      <c r="WNV30" s="376" t="s">
        <v>984</v>
      </c>
      <c r="WOH30" s="197" t="s">
        <v>110</v>
      </c>
      <c r="WOI30" s="198"/>
      <c r="WOJ30" s="1"/>
      <c r="WOK30" s="195">
        <v>28</v>
      </c>
      <c r="WOL30" s="376" t="s">
        <v>984</v>
      </c>
      <c r="WOX30" s="197" t="s">
        <v>110</v>
      </c>
      <c r="WOY30" s="198"/>
      <c r="WOZ30" s="1"/>
      <c r="WPA30" s="195">
        <v>28</v>
      </c>
      <c r="WPB30" s="376" t="s">
        <v>984</v>
      </c>
      <c r="WPN30" s="197" t="s">
        <v>110</v>
      </c>
      <c r="WPO30" s="198"/>
      <c r="WPP30" s="1"/>
      <c r="WPQ30" s="195">
        <v>28</v>
      </c>
      <c r="WPR30" s="376" t="s">
        <v>984</v>
      </c>
      <c r="WQD30" s="197" t="s">
        <v>110</v>
      </c>
      <c r="WQE30" s="198"/>
      <c r="WQF30" s="1"/>
      <c r="WQG30" s="195">
        <v>28</v>
      </c>
      <c r="WQH30" s="376" t="s">
        <v>984</v>
      </c>
      <c r="WQT30" s="197" t="s">
        <v>110</v>
      </c>
      <c r="WQU30" s="198"/>
      <c r="WQV30" s="1"/>
      <c r="WQW30" s="195">
        <v>28</v>
      </c>
      <c r="WQX30" s="376" t="s">
        <v>984</v>
      </c>
      <c r="WRJ30" s="197" t="s">
        <v>110</v>
      </c>
      <c r="WRK30" s="198"/>
      <c r="WRL30" s="1"/>
      <c r="WRM30" s="195">
        <v>28</v>
      </c>
      <c r="WRN30" s="376" t="s">
        <v>984</v>
      </c>
      <c r="WRZ30" s="197" t="s">
        <v>110</v>
      </c>
      <c r="WSA30" s="198"/>
      <c r="WSB30" s="1"/>
      <c r="WSC30" s="195">
        <v>28</v>
      </c>
      <c r="WSD30" s="376" t="s">
        <v>984</v>
      </c>
      <c r="WSP30" s="197" t="s">
        <v>110</v>
      </c>
      <c r="WSQ30" s="198"/>
      <c r="WSR30" s="1"/>
      <c r="WSS30" s="195">
        <v>28</v>
      </c>
      <c r="WST30" s="376" t="s">
        <v>984</v>
      </c>
      <c r="WTF30" s="197" t="s">
        <v>110</v>
      </c>
      <c r="WTG30" s="198"/>
      <c r="WTH30" s="1"/>
      <c r="WTI30" s="195">
        <v>28</v>
      </c>
      <c r="WTJ30" s="376" t="s">
        <v>984</v>
      </c>
      <c r="WTV30" s="197" t="s">
        <v>110</v>
      </c>
      <c r="WTW30" s="198"/>
      <c r="WTX30" s="1"/>
      <c r="WTY30" s="195">
        <v>28</v>
      </c>
      <c r="WTZ30" s="376" t="s">
        <v>984</v>
      </c>
      <c r="WUL30" s="197" t="s">
        <v>110</v>
      </c>
      <c r="WUM30" s="198"/>
      <c r="WUN30" s="1"/>
      <c r="WUO30" s="195">
        <v>28</v>
      </c>
      <c r="WUP30" s="376" t="s">
        <v>984</v>
      </c>
      <c r="WVB30" s="197" t="s">
        <v>110</v>
      </c>
      <c r="WVC30" s="198"/>
      <c r="WVD30" s="1"/>
      <c r="WVE30" s="195">
        <v>28</v>
      </c>
      <c r="WVF30" s="376" t="s">
        <v>984</v>
      </c>
      <c r="WVR30" s="197" t="s">
        <v>110</v>
      </c>
      <c r="WVS30" s="198"/>
      <c r="WVT30" s="1"/>
      <c r="WVU30" s="195">
        <v>28</v>
      </c>
      <c r="WVV30" s="376" t="s">
        <v>984</v>
      </c>
      <c r="WWH30" s="197" t="s">
        <v>110</v>
      </c>
      <c r="WWI30" s="198"/>
      <c r="WWJ30" s="1"/>
      <c r="WWK30" s="195">
        <v>28</v>
      </c>
      <c r="WWL30" s="376" t="s">
        <v>984</v>
      </c>
      <c r="WWX30" s="197" t="s">
        <v>110</v>
      </c>
      <c r="WWY30" s="198"/>
      <c r="WWZ30" s="1"/>
      <c r="WXA30" s="195">
        <v>28</v>
      </c>
      <c r="WXB30" s="376" t="s">
        <v>984</v>
      </c>
      <c r="WXN30" s="197" t="s">
        <v>110</v>
      </c>
      <c r="WXO30" s="198"/>
      <c r="WXP30" s="1"/>
      <c r="WXQ30" s="195">
        <v>28</v>
      </c>
      <c r="WXR30" s="376" t="s">
        <v>984</v>
      </c>
      <c r="WYD30" s="197" t="s">
        <v>110</v>
      </c>
      <c r="WYE30" s="198"/>
      <c r="WYF30" s="1"/>
      <c r="WYG30" s="195">
        <v>28</v>
      </c>
      <c r="WYH30" s="376" t="s">
        <v>984</v>
      </c>
      <c r="WYT30" s="197" t="s">
        <v>110</v>
      </c>
      <c r="WYU30" s="198"/>
      <c r="WYV30" s="1"/>
      <c r="WYW30" s="195">
        <v>28</v>
      </c>
      <c r="WYX30" s="376" t="s">
        <v>984</v>
      </c>
      <c r="WZJ30" s="197" t="s">
        <v>110</v>
      </c>
      <c r="WZK30" s="198"/>
      <c r="WZL30" s="1"/>
      <c r="WZM30" s="195">
        <v>28</v>
      </c>
      <c r="WZN30" s="376" t="s">
        <v>984</v>
      </c>
      <c r="WZZ30" s="197" t="s">
        <v>110</v>
      </c>
      <c r="XAA30" s="198"/>
      <c r="XAB30" s="1"/>
      <c r="XAC30" s="195">
        <v>28</v>
      </c>
      <c r="XAD30" s="376" t="s">
        <v>984</v>
      </c>
      <c r="XAP30" s="197" t="s">
        <v>110</v>
      </c>
      <c r="XAQ30" s="198"/>
      <c r="XAR30" s="1"/>
      <c r="XAS30" s="195">
        <v>28</v>
      </c>
      <c r="XAT30" s="376" t="s">
        <v>984</v>
      </c>
      <c r="XBF30" s="197" t="s">
        <v>110</v>
      </c>
      <c r="XBG30" s="198"/>
      <c r="XBH30" s="1"/>
      <c r="XBI30" s="195">
        <v>28</v>
      </c>
      <c r="XBJ30" s="376" t="s">
        <v>984</v>
      </c>
      <c r="XBV30" s="197" t="s">
        <v>110</v>
      </c>
      <c r="XBW30" s="198"/>
      <c r="XBX30" s="1"/>
      <c r="XBY30" s="195">
        <v>28</v>
      </c>
      <c r="XBZ30" s="376" t="s">
        <v>984</v>
      </c>
      <c r="XCL30" s="197" t="s">
        <v>110</v>
      </c>
      <c r="XCM30" s="198"/>
      <c r="XCN30" s="1"/>
      <c r="XCO30" s="195">
        <v>28</v>
      </c>
      <c r="XCP30" s="376" t="s">
        <v>984</v>
      </c>
      <c r="XDB30" s="197" t="s">
        <v>110</v>
      </c>
      <c r="XDC30" s="198"/>
      <c r="XDD30" s="1"/>
      <c r="XDE30" s="195">
        <v>28</v>
      </c>
      <c r="XDF30" s="376" t="s">
        <v>984</v>
      </c>
      <c r="XDR30" s="197" t="s">
        <v>110</v>
      </c>
      <c r="XDS30" s="198"/>
      <c r="XDT30" s="1"/>
      <c r="XDU30" s="195">
        <v>28</v>
      </c>
      <c r="XDV30" s="376" t="s">
        <v>984</v>
      </c>
      <c r="XEH30" s="197" t="s">
        <v>110</v>
      </c>
      <c r="XEI30" s="198"/>
      <c r="XEJ30" s="1"/>
      <c r="XEK30" s="195">
        <v>28</v>
      </c>
      <c r="XEL30" s="376" t="s">
        <v>984</v>
      </c>
      <c r="XEX30" s="197" t="s">
        <v>110</v>
      </c>
      <c r="XEY30" s="198"/>
      <c r="XEZ30" s="1"/>
      <c r="XFA30" s="195">
        <v>28</v>
      </c>
      <c r="XFB30" s="376" t="s">
        <v>984</v>
      </c>
    </row>
    <row r="31" spans="1:1022 1034:2046 2058:3070 3082:4094 4106:5118 5130:6142 6154:7166 7178:8190 8202:9214 9226:10238 10250:11262 11274:12286 12298:13310 13322:14334 14346:15358 15370:16382" s="248" customFormat="1">
      <c r="A31" s="195">
        <v>29</v>
      </c>
      <c r="B31" s="196" t="s">
        <v>986</v>
      </c>
      <c r="C31" s="253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7" t="s">
        <v>110</v>
      </c>
      <c r="AA31" s="198"/>
    </row>
    <row r="32" spans="1:1022 1034:2046 2058:3070 3082:4094 4106:5118 5130:6142 6154:7166 7178:8190 8202:9214 9226:10238 10250:11262 11274:12286 12298:13310 13322:14334 14346:15358 15370:16382" s="248" customFormat="1">
      <c r="A32" s="384">
        <v>30</v>
      </c>
      <c r="B32" s="385" t="s">
        <v>987</v>
      </c>
      <c r="C32" s="253"/>
      <c r="D32" s="385"/>
      <c r="E32" s="385"/>
      <c r="F32" s="385"/>
      <c r="G32" s="385"/>
      <c r="H32" s="385" t="s">
        <v>63</v>
      </c>
      <c r="I32" s="385" t="s">
        <v>63</v>
      </c>
      <c r="J32" s="385" t="s">
        <v>65</v>
      </c>
      <c r="K32" s="385" t="s">
        <v>66</v>
      </c>
      <c r="L32" s="385"/>
      <c r="M32" s="385"/>
      <c r="N32" s="404"/>
      <c r="O32" s="404"/>
      <c r="P32" s="404"/>
      <c r="Q32" s="404"/>
      <c r="R32" s="404"/>
      <c r="S32" s="404"/>
      <c r="T32" s="404"/>
      <c r="U32" s="404"/>
      <c r="V32" s="404"/>
      <c r="W32" s="404"/>
      <c r="X32" s="404"/>
      <c r="Y32" s="404"/>
      <c r="Z32" s="386" t="s">
        <v>73</v>
      </c>
      <c r="AA32" s="387"/>
      <c r="AB32" s="290"/>
    </row>
    <row r="33" spans="1:27">
      <c r="A33" s="195">
        <v>31</v>
      </c>
      <c r="B33" s="196" t="s">
        <v>988</v>
      </c>
      <c r="C33" s="253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7" t="s">
        <v>73</v>
      </c>
      <c r="AA33" s="198"/>
    </row>
    <row r="34" spans="1:27">
      <c r="A34" s="195" t="s">
        <v>989</v>
      </c>
      <c r="B34" s="196" t="s">
        <v>990</v>
      </c>
      <c r="C34" s="253" t="s">
        <v>991</v>
      </c>
      <c r="D34" s="196" t="s">
        <v>61</v>
      </c>
      <c r="E34" s="196" t="s">
        <v>82</v>
      </c>
      <c r="F34" s="196" t="s">
        <v>83</v>
      </c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7" t="s">
        <v>73</v>
      </c>
      <c r="AA34" s="198"/>
    </row>
    <row r="35" spans="1:27">
      <c r="A35" s="195">
        <v>33</v>
      </c>
      <c r="B35" s="196" t="s">
        <v>992</v>
      </c>
      <c r="C35" s="253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7" t="s">
        <v>73</v>
      </c>
      <c r="AA35" s="198"/>
    </row>
    <row r="36" spans="1:27">
      <c r="A36" s="195">
        <v>34</v>
      </c>
      <c r="B36" s="196" t="s">
        <v>993</v>
      </c>
      <c r="C36" s="253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7" t="s">
        <v>73</v>
      </c>
      <c r="AA36" s="198"/>
    </row>
    <row r="37" spans="1:27" s="248" customFormat="1">
      <c r="A37" s="249">
        <v>35</v>
      </c>
      <c r="B37" s="250" t="s">
        <v>994</v>
      </c>
      <c r="C37" s="253" t="s">
        <v>995</v>
      </c>
      <c r="D37" s="250" t="s">
        <v>416</v>
      </c>
      <c r="E37" s="250" t="s">
        <v>62</v>
      </c>
      <c r="F37" s="250" t="s">
        <v>138</v>
      </c>
      <c r="G37" s="250" t="s">
        <v>664</v>
      </c>
      <c r="H37" s="250" t="s">
        <v>996</v>
      </c>
      <c r="I37" s="250"/>
      <c r="J37" s="250" t="s">
        <v>65</v>
      </c>
      <c r="K37" s="250" t="s">
        <v>66</v>
      </c>
      <c r="L37" s="250" t="s">
        <v>101</v>
      </c>
      <c r="M37" s="250" t="s">
        <v>78</v>
      </c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51" t="s">
        <v>73</v>
      </c>
      <c r="AA37" s="257"/>
    </row>
    <row r="38" spans="1:27">
      <c r="A38" s="195">
        <v>36</v>
      </c>
      <c r="B38" s="196" t="s">
        <v>997</v>
      </c>
      <c r="C38" s="253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7" t="s">
        <v>110</v>
      </c>
      <c r="AA38" s="198"/>
    </row>
    <row r="39" spans="1:27">
      <c r="A39" s="195">
        <v>37</v>
      </c>
      <c r="B39" s="196" t="s">
        <v>998</v>
      </c>
      <c r="C39" s="253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7" t="s">
        <v>73</v>
      </c>
      <c r="AA39" s="198"/>
    </row>
    <row r="40" spans="1:27">
      <c r="A40" s="195">
        <v>38</v>
      </c>
      <c r="B40" s="196" t="s">
        <v>999</v>
      </c>
      <c r="C40" s="253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7" t="s">
        <v>73</v>
      </c>
      <c r="AA40" s="198"/>
    </row>
    <row r="41" spans="1:27">
      <c r="A41" s="195">
        <v>39</v>
      </c>
      <c r="B41" s="196" t="s">
        <v>1000</v>
      </c>
      <c r="C41" s="253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 t="s">
        <v>69</v>
      </c>
      <c r="O41" s="196" t="s">
        <v>90</v>
      </c>
      <c r="P41" s="196" t="s">
        <v>90</v>
      </c>
      <c r="Q41" s="196" t="s">
        <v>1001</v>
      </c>
      <c r="R41" s="196" t="s">
        <v>90</v>
      </c>
      <c r="S41" s="196" t="s">
        <v>90</v>
      </c>
      <c r="T41" s="196" t="s">
        <v>90</v>
      </c>
      <c r="U41" s="196" t="s">
        <v>69</v>
      </c>
      <c r="V41" s="196"/>
      <c r="W41" s="196" t="s">
        <v>69</v>
      </c>
      <c r="X41" s="196" t="s">
        <v>69</v>
      </c>
      <c r="Y41" s="196" t="s">
        <v>195</v>
      </c>
      <c r="Z41" s="197" t="s">
        <v>73</v>
      </c>
      <c r="AA41" s="198"/>
    </row>
    <row r="42" spans="1:27" s="256" customFormat="1">
      <c r="A42" s="195">
        <v>40</v>
      </c>
      <c r="B42" s="196" t="s">
        <v>1002</v>
      </c>
      <c r="C42" s="253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7" t="s">
        <v>73</v>
      </c>
      <c r="AA42" s="198"/>
    </row>
    <row r="43" spans="1:27" s="272" customFormat="1">
      <c r="A43" s="388">
        <v>41</v>
      </c>
      <c r="B43" s="389" t="s">
        <v>1003</v>
      </c>
      <c r="C43" s="389" t="s">
        <v>1004</v>
      </c>
      <c r="D43" s="389"/>
      <c r="E43" s="389"/>
      <c r="F43" s="389"/>
      <c r="G43" s="389"/>
      <c r="H43" s="389"/>
      <c r="I43" s="389"/>
      <c r="J43" s="389"/>
      <c r="K43" s="389"/>
      <c r="L43" s="389"/>
      <c r="M43" s="389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390" t="s">
        <v>110</v>
      </c>
      <c r="AA43" s="391"/>
    </row>
    <row r="44" spans="1:27">
      <c r="A44" s="195">
        <v>42</v>
      </c>
      <c r="B44" s="196" t="s">
        <v>1005</v>
      </c>
      <c r="C44" s="253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7" t="s">
        <v>110</v>
      </c>
      <c r="AA44" s="198"/>
    </row>
    <row r="45" spans="1:27">
      <c r="A45" s="195">
        <v>43</v>
      </c>
      <c r="B45" s="196" t="s">
        <v>1006</v>
      </c>
      <c r="C45" s="253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7" t="s">
        <v>110</v>
      </c>
      <c r="AA45" s="198"/>
    </row>
    <row r="46" spans="1:27">
      <c r="A46" s="195">
        <v>44</v>
      </c>
      <c r="B46" s="196" t="s">
        <v>1007</v>
      </c>
      <c r="C46" s="253" t="s">
        <v>1008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7" t="s">
        <v>110</v>
      </c>
      <c r="AA46" s="198"/>
    </row>
    <row r="47" spans="1:27">
      <c r="A47" s="195">
        <v>45</v>
      </c>
      <c r="B47" s="196" t="s">
        <v>1009</v>
      </c>
      <c r="C47" s="253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7" t="s">
        <v>110</v>
      </c>
      <c r="AA47" s="198"/>
    </row>
    <row r="48" spans="1:27" s="272" customFormat="1">
      <c r="A48" s="388">
        <v>46</v>
      </c>
      <c r="B48" s="389" t="s">
        <v>1010</v>
      </c>
      <c r="C48" s="389"/>
      <c r="D48" s="389"/>
      <c r="I48" s="389"/>
      <c r="J48" s="389"/>
      <c r="K48" s="389"/>
      <c r="L48" s="389"/>
      <c r="M48" s="389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390" t="s">
        <v>110</v>
      </c>
      <c r="AA48" s="391"/>
    </row>
    <row r="49" spans="1:27">
      <c r="A49" s="195">
        <v>47</v>
      </c>
      <c r="B49" s="196" t="s">
        <v>1011</v>
      </c>
      <c r="C49" s="389" t="s">
        <v>970</v>
      </c>
      <c r="D49" s="389" t="s">
        <v>971</v>
      </c>
      <c r="E49" s="389" t="s">
        <v>82</v>
      </c>
      <c r="F49" s="389" t="s">
        <v>972</v>
      </c>
      <c r="G49" s="389" t="s">
        <v>973</v>
      </c>
      <c r="H49" s="389" t="s">
        <v>1012</v>
      </c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7" t="s">
        <v>110</v>
      </c>
      <c r="AA49" s="198"/>
    </row>
    <row r="50" spans="1:27">
      <c r="A50" s="195">
        <v>48</v>
      </c>
      <c r="B50" s="196" t="s">
        <v>1013</v>
      </c>
      <c r="C50" s="253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7" t="s">
        <v>110</v>
      </c>
      <c r="AA50" s="198"/>
    </row>
    <row r="51" spans="1:27">
      <c r="A51" s="195">
        <v>49</v>
      </c>
      <c r="B51" s="196" t="s">
        <v>1014</v>
      </c>
      <c r="C51" s="253" t="s">
        <v>1015</v>
      </c>
      <c r="D51" s="196" t="s">
        <v>61</v>
      </c>
      <c r="E51" s="196" t="s">
        <v>62</v>
      </c>
      <c r="F51" s="196"/>
      <c r="G51" s="196"/>
      <c r="H51" s="196"/>
      <c r="I51" s="196"/>
      <c r="J51" s="196"/>
      <c r="K51" s="196"/>
      <c r="L51" s="196" t="s">
        <v>420</v>
      </c>
      <c r="M51" s="196" t="s">
        <v>78</v>
      </c>
      <c r="N51" s="196" t="s">
        <v>69</v>
      </c>
      <c r="O51" s="196" t="s">
        <v>70</v>
      </c>
      <c r="P51" s="196" t="s">
        <v>69</v>
      </c>
      <c r="Q51" s="196" t="s">
        <v>70</v>
      </c>
      <c r="R51" s="196" t="s">
        <v>69</v>
      </c>
      <c r="S51" s="196" t="s">
        <v>69</v>
      </c>
      <c r="T51" s="196" t="s">
        <v>69</v>
      </c>
      <c r="U51" s="196" t="s">
        <v>69</v>
      </c>
      <c r="V51" s="196" t="s">
        <v>90</v>
      </c>
      <c r="W51" s="196" t="s">
        <v>69</v>
      </c>
      <c r="X51" s="196" t="s">
        <v>69</v>
      </c>
      <c r="Y51" s="196" t="s">
        <v>70</v>
      </c>
      <c r="Z51" s="197" t="s">
        <v>73</v>
      </c>
      <c r="AA51" s="198" t="s">
        <v>1016</v>
      </c>
    </row>
    <row r="52" spans="1:27">
      <c r="A52" s="195">
        <v>50</v>
      </c>
      <c r="B52" s="196" t="s">
        <v>1017</v>
      </c>
      <c r="C52" s="253" t="s">
        <v>1018</v>
      </c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7" t="s">
        <v>110</v>
      </c>
      <c r="AA52" s="198"/>
    </row>
    <row r="53" spans="1:27">
      <c r="A53" s="195">
        <v>51</v>
      </c>
      <c r="B53" s="196" t="s">
        <v>1019</v>
      </c>
      <c r="C53" s="253" t="s">
        <v>1020</v>
      </c>
      <c r="D53" s="196" t="s">
        <v>61</v>
      </c>
      <c r="E53" s="196" t="s">
        <v>62</v>
      </c>
      <c r="F53" s="196" t="s">
        <v>429</v>
      </c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7" t="s">
        <v>110</v>
      </c>
      <c r="AA53" s="198"/>
    </row>
    <row r="54" spans="1:27">
      <c r="A54" s="195">
        <v>52</v>
      </c>
      <c r="B54" s="196" t="s">
        <v>1021</v>
      </c>
      <c r="C54" s="253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7" t="s">
        <v>110</v>
      </c>
      <c r="AA54" s="198"/>
    </row>
    <row r="55" spans="1:27" s="272" customFormat="1">
      <c r="A55" s="388">
        <v>53</v>
      </c>
      <c r="B55" s="389" t="s">
        <v>1022</v>
      </c>
      <c r="C55" s="389" t="s">
        <v>1023</v>
      </c>
      <c r="D55" s="405" t="s">
        <v>971</v>
      </c>
      <c r="E55" s="389" t="s">
        <v>82</v>
      </c>
      <c r="F55" s="389" t="s">
        <v>972</v>
      </c>
      <c r="G55" s="389" t="s">
        <v>1024</v>
      </c>
      <c r="H55" s="389" t="s">
        <v>1025</v>
      </c>
      <c r="I55" s="389" t="s">
        <v>1026</v>
      </c>
      <c r="J55" s="389" t="s">
        <v>87</v>
      </c>
      <c r="K55" s="389" t="s">
        <v>66</v>
      </c>
      <c r="L55" s="389" t="s">
        <v>444</v>
      </c>
      <c r="M55" s="389" t="s">
        <v>68</v>
      </c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390" t="s">
        <v>73</v>
      </c>
      <c r="AA55" s="391"/>
    </row>
    <row r="56" spans="1:27">
      <c r="A56" s="195">
        <v>54</v>
      </c>
      <c r="B56" s="196" t="s">
        <v>1027</v>
      </c>
      <c r="C56" s="253" t="s">
        <v>951</v>
      </c>
      <c r="D56" s="196" t="s">
        <v>92</v>
      </c>
      <c r="E56" s="196" t="s">
        <v>62</v>
      </c>
      <c r="F56" s="196" t="s">
        <v>188</v>
      </c>
      <c r="G56" s="196" t="s">
        <v>1028</v>
      </c>
      <c r="H56" s="196" t="s">
        <v>1029</v>
      </c>
      <c r="I56" s="196"/>
      <c r="J56" s="196" t="s">
        <v>65</v>
      </c>
      <c r="K56" s="196" t="s">
        <v>66</v>
      </c>
      <c r="L56" s="196" t="s">
        <v>866</v>
      </c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7" t="s">
        <v>73</v>
      </c>
      <c r="AA56" s="198"/>
    </row>
    <row r="57" spans="1:27" s="248" customFormat="1">
      <c r="A57" s="249">
        <v>55</v>
      </c>
      <c r="B57" s="250" t="s">
        <v>1030</v>
      </c>
      <c r="C57" s="253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404"/>
      <c r="O57" s="404"/>
      <c r="P57" s="404"/>
      <c r="Q57" s="404"/>
      <c r="R57" s="404"/>
      <c r="S57" s="404"/>
      <c r="T57" s="404"/>
      <c r="U57" s="404"/>
      <c r="V57" s="404"/>
      <c r="W57" s="404"/>
      <c r="X57" s="404"/>
      <c r="Y57" s="404"/>
      <c r="Z57" s="251" t="s">
        <v>73</v>
      </c>
      <c r="AA57" s="257"/>
    </row>
    <row r="58" spans="1:27">
      <c r="A58" s="195">
        <v>56</v>
      </c>
      <c r="B58" s="196" t="s">
        <v>1031</v>
      </c>
      <c r="C58" s="256" t="s">
        <v>951</v>
      </c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7" t="s">
        <v>73</v>
      </c>
      <c r="AA58" s="198" t="s">
        <v>544</v>
      </c>
    </row>
    <row r="59" spans="1:27" s="272" customFormat="1">
      <c r="A59" s="388">
        <v>57</v>
      </c>
      <c r="B59" s="389" t="s">
        <v>1032</v>
      </c>
      <c r="C59" s="389" t="s">
        <v>67</v>
      </c>
      <c r="D59" s="389" t="s">
        <v>971</v>
      </c>
      <c r="E59" s="389" t="s">
        <v>82</v>
      </c>
      <c r="F59" s="389" t="s">
        <v>972</v>
      </c>
      <c r="G59" s="389" t="s">
        <v>1033</v>
      </c>
      <c r="H59" s="389" t="s">
        <v>1034</v>
      </c>
      <c r="I59" s="389" t="s">
        <v>1035</v>
      </c>
      <c r="J59" s="389" t="s">
        <v>87</v>
      </c>
      <c r="K59" s="389" t="s">
        <v>66</v>
      </c>
      <c r="L59" s="389" t="s">
        <v>67</v>
      </c>
      <c r="M59" s="389" t="s">
        <v>68</v>
      </c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390" t="s">
        <v>73</v>
      </c>
      <c r="AA59" s="391"/>
    </row>
    <row r="60" spans="1:27" s="256" customFormat="1">
      <c r="A60" s="252">
        <v>58</v>
      </c>
      <c r="B60" s="253" t="s">
        <v>1036</v>
      </c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404"/>
      <c r="O60" s="404"/>
      <c r="P60" s="404"/>
      <c r="Q60" s="404"/>
      <c r="R60" s="404"/>
      <c r="S60" s="404"/>
      <c r="T60" s="404"/>
      <c r="U60" s="404"/>
      <c r="V60" s="404"/>
      <c r="W60" s="404"/>
      <c r="X60" s="404"/>
      <c r="Y60" s="404"/>
      <c r="Z60" s="390" t="s">
        <v>110</v>
      </c>
      <c r="AA60" s="255"/>
    </row>
    <row r="61" spans="1:27" s="248" customFormat="1">
      <c r="A61" s="249">
        <v>59</v>
      </c>
      <c r="B61" s="250" t="s">
        <v>1037</v>
      </c>
      <c r="C61" s="253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404"/>
      <c r="O61" s="404"/>
      <c r="P61" s="404"/>
      <c r="Q61" s="404"/>
      <c r="R61" s="404"/>
      <c r="S61" s="404"/>
      <c r="T61" s="404"/>
      <c r="U61" s="404"/>
      <c r="V61" s="404"/>
      <c r="W61" s="404"/>
      <c r="X61" s="404"/>
      <c r="Y61" s="404"/>
      <c r="Z61" s="251" t="s">
        <v>73</v>
      </c>
      <c r="AA61" s="257"/>
    </row>
    <row r="62" spans="1:27">
      <c r="A62" s="195">
        <v>60</v>
      </c>
      <c r="B62" s="196" t="s">
        <v>1038</v>
      </c>
      <c r="C62" s="253" t="s">
        <v>1039</v>
      </c>
      <c r="D62" s="196" t="s">
        <v>92</v>
      </c>
      <c r="E62" s="196" t="s">
        <v>62</v>
      </c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7" t="s">
        <v>73</v>
      </c>
      <c r="AA62" s="198"/>
    </row>
    <row r="63" spans="1:27" s="248" customFormat="1">
      <c r="A63" s="249">
        <v>61</v>
      </c>
      <c r="B63" s="250" t="s">
        <v>1040</v>
      </c>
      <c r="C63" s="253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404"/>
      <c r="O63" s="404"/>
      <c r="P63" s="404"/>
      <c r="Q63" s="404"/>
      <c r="R63" s="404"/>
      <c r="S63" s="404"/>
      <c r="T63" s="404"/>
      <c r="U63" s="404"/>
      <c r="V63" s="404"/>
      <c r="W63" s="404"/>
      <c r="X63" s="404"/>
      <c r="Y63" s="404"/>
      <c r="Z63" s="251" t="s">
        <v>110</v>
      </c>
      <c r="AA63" s="257"/>
    </row>
    <row r="64" spans="1:27" s="272" customFormat="1">
      <c r="A64" s="388">
        <v>62</v>
      </c>
      <c r="B64" s="389" t="s">
        <v>1041</v>
      </c>
      <c r="C64" s="389" t="s">
        <v>1042</v>
      </c>
      <c r="D64" s="389" t="s">
        <v>971</v>
      </c>
      <c r="E64" s="389" t="s">
        <v>82</v>
      </c>
      <c r="F64" s="389" t="s">
        <v>972</v>
      </c>
      <c r="G64" s="389" t="s">
        <v>1043</v>
      </c>
      <c r="H64" s="389" t="s">
        <v>1044</v>
      </c>
      <c r="I64" s="389" t="s">
        <v>1045</v>
      </c>
      <c r="J64" s="389" t="s">
        <v>87</v>
      </c>
      <c r="K64" s="389" t="s">
        <v>66</v>
      </c>
      <c r="L64" s="389" t="s">
        <v>246</v>
      </c>
      <c r="M64" s="389" t="s">
        <v>68</v>
      </c>
      <c r="N64" s="389"/>
      <c r="O64" s="389"/>
      <c r="P64" s="389"/>
      <c r="Q64" s="389"/>
      <c r="R64" s="389"/>
      <c r="S64" s="389"/>
      <c r="T64" s="389"/>
      <c r="U64" s="389"/>
      <c r="V64" s="389"/>
      <c r="W64" s="389"/>
      <c r="X64" s="389"/>
      <c r="Y64" s="389"/>
      <c r="Z64" s="390" t="s">
        <v>73</v>
      </c>
      <c r="AA64" s="391"/>
    </row>
    <row r="65" spans="1:27" s="272" customFormat="1">
      <c r="A65" s="388">
        <v>63</v>
      </c>
      <c r="B65" s="389" t="s">
        <v>1046</v>
      </c>
      <c r="C65" s="389" t="s">
        <v>1047</v>
      </c>
      <c r="D65" s="389" t="s">
        <v>971</v>
      </c>
      <c r="E65" s="389" t="s">
        <v>82</v>
      </c>
      <c r="F65" s="389" t="s">
        <v>972</v>
      </c>
      <c r="G65" s="389" t="s">
        <v>1024</v>
      </c>
      <c r="H65" s="389" t="s">
        <v>1048</v>
      </c>
      <c r="I65" s="389" t="s">
        <v>1049</v>
      </c>
      <c r="J65" s="389" t="s">
        <v>87</v>
      </c>
      <c r="K65" s="389" t="s">
        <v>66</v>
      </c>
      <c r="L65" s="389" t="s">
        <v>246</v>
      </c>
      <c r="M65" s="389" t="s">
        <v>68</v>
      </c>
      <c r="N65" s="389"/>
      <c r="O65" s="389"/>
      <c r="P65" s="389"/>
      <c r="Q65" s="389"/>
      <c r="R65" s="389"/>
      <c r="S65" s="389"/>
      <c r="T65" s="389"/>
      <c r="U65" s="389"/>
      <c r="V65" s="389"/>
      <c r="W65" s="389"/>
      <c r="X65" s="389"/>
      <c r="Y65" s="389"/>
      <c r="Z65" s="390" t="s">
        <v>73</v>
      </c>
      <c r="AA65" s="391"/>
    </row>
    <row r="66" spans="1:27">
      <c r="A66" s="195">
        <v>64</v>
      </c>
      <c r="B66" s="196" t="s">
        <v>1050</v>
      </c>
      <c r="C66" s="253" t="s">
        <v>1051</v>
      </c>
      <c r="D66" s="196" t="s">
        <v>61</v>
      </c>
      <c r="E66" s="196" t="s">
        <v>62</v>
      </c>
      <c r="F66" s="196" t="s">
        <v>57</v>
      </c>
      <c r="G66" s="196"/>
      <c r="H66" s="196"/>
      <c r="I66" s="196"/>
      <c r="J66" s="196"/>
      <c r="K66" s="196"/>
      <c r="L66" s="196"/>
      <c r="M66" s="196"/>
      <c r="N66" s="404"/>
      <c r="O66" s="404"/>
      <c r="P66" s="404"/>
      <c r="Q66" s="404"/>
      <c r="R66" s="404"/>
      <c r="S66" s="404"/>
      <c r="T66" s="404"/>
      <c r="U66" s="404"/>
      <c r="V66" s="404"/>
      <c r="W66" s="404"/>
      <c r="X66" s="404"/>
      <c r="Y66" s="404"/>
      <c r="Z66" s="197" t="s">
        <v>110</v>
      </c>
      <c r="AA66" s="198"/>
    </row>
    <row r="67" spans="1:27">
      <c r="A67" s="195">
        <v>65</v>
      </c>
      <c r="B67" s="196" t="s">
        <v>1052</v>
      </c>
      <c r="C67" s="253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404"/>
      <c r="O67" s="404"/>
      <c r="P67" s="404"/>
      <c r="Q67" s="404"/>
      <c r="R67" s="404"/>
      <c r="S67" s="404"/>
      <c r="T67" s="404"/>
      <c r="U67" s="404"/>
      <c r="V67" s="404"/>
      <c r="W67" s="404"/>
      <c r="X67" s="404"/>
      <c r="Y67" s="404"/>
      <c r="Z67" s="197" t="s">
        <v>110</v>
      </c>
      <c r="AA67" s="198"/>
    </row>
    <row r="68" spans="1:27">
      <c r="A68" s="195">
        <v>66</v>
      </c>
      <c r="B68" s="196" t="s">
        <v>1053</v>
      </c>
      <c r="C68" s="253" t="s">
        <v>1054</v>
      </c>
      <c r="D68" s="196" t="s">
        <v>61</v>
      </c>
      <c r="E68" s="196" t="s">
        <v>62</v>
      </c>
      <c r="F68" s="196" t="s">
        <v>57</v>
      </c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7" t="s">
        <v>73</v>
      </c>
      <c r="AA68" s="198"/>
    </row>
    <row r="69" spans="1:27">
      <c r="A69" s="195">
        <v>67</v>
      </c>
      <c r="B69" s="196" t="s">
        <v>1055</v>
      </c>
      <c r="C69" s="447" t="s">
        <v>1054</v>
      </c>
      <c r="D69" s="196" t="s">
        <v>92</v>
      </c>
      <c r="E69" s="196" t="s">
        <v>62</v>
      </c>
      <c r="F69" s="196" t="s">
        <v>188</v>
      </c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7" t="s">
        <v>110</v>
      </c>
      <c r="AA69" s="198"/>
    </row>
    <row r="70" spans="1:27" s="272" customFormat="1">
      <c r="A70" s="388">
        <v>68</v>
      </c>
      <c r="B70" s="389" t="s">
        <v>1056</v>
      </c>
      <c r="C70" s="389" t="s">
        <v>1057</v>
      </c>
      <c r="D70" s="389" t="s">
        <v>971</v>
      </c>
      <c r="E70" s="389" t="s">
        <v>82</v>
      </c>
      <c r="F70" s="389" t="s">
        <v>972</v>
      </c>
      <c r="G70" s="389" t="s">
        <v>1024</v>
      </c>
      <c r="H70" s="389" t="s">
        <v>1058</v>
      </c>
      <c r="I70" s="389"/>
      <c r="J70" s="389" t="s">
        <v>87</v>
      </c>
      <c r="K70" s="389" t="s">
        <v>66</v>
      </c>
      <c r="L70" s="389" t="s">
        <v>101</v>
      </c>
      <c r="M70" s="389" t="s">
        <v>68</v>
      </c>
      <c r="N70" s="389"/>
      <c r="O70" s="389"/>
      <c r="P70" s="389"/>
      <c r="Q70" s="389"/>
      <c r="R70" s="389"/>
      <c r="S70" s="389"/>
      <c r="T70" s="389"/>
      <c r="U70" s="389"/>
      <c r="V70" s="389"/>
      <c r="W70" s="389"/>
      <c r="X70" s="389"/>
      <c r="Y70" s="389"/>
      <c r="Z70" s="390" t="s">
        <v>73</v>
      </c>
      <c r="AA70" s="391"/>
    </row>
    <row r="71" spans="1:27" s="248" customFormat="1">
      <c r="A71" s="195">
        <v>69</v>
      </c>
      <c r="B71" s="196" t="s">
        <v>1059</v>
      </c>
      <c r="C71" s="253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7" t="s">
        <v>73</v>
      </c>
      <c r="AA71" s="198"/>
    </row>
    <row r="72" spans="1:27" s="272" customFormat="1">
      <c r="A72" s="388">
        <v>70</v>
      </c>
      <c r="B72" s="389" t="s">
        <v>1060</v>
      </c>
      <c r="C72" s="389" t="s">
        <v>152</v>
      </c>
      <c r="D72" s="389" t="s">
        <v>971</v>
      </c>
      <c r="E72" s="389" t="s">
        <v>82</v>
      </c>
      <c r="F72" s="389" t="s">
        <v>972</v>
      </c>
      <c r="G72" s="389" t="s">
        <v>1033</v>
      </c>
      <c r="H72" s="389" t="s">
        <v>1061</v>
      </c>
      <c r="I72" s="389" t="s">
        <v>1062</v>
      </c>
      <c r="J72" s="389" t="s">
        <v>87</v>
      </c>
      <c r="K72" s="389" t="s">
        <v>66</v>
      </c>
      <c r="L72" s="389" t="s">
        <v>152</v>
      </c>
      <c r="M72" s="389" t="s">
        <v>68</v>
      </c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390" t="s">
        <v>73</v>
      </c>
      <c r="AA72" s="391"/>
    </row>
    <row r="73" spans="1:27" s="272" customFormat="1">
      <c r="A73" s="388">
        <v>71</v>
      </c>
      <c r="B73" s="389" t="s">
        <v>1063</v>
      </c>
      <c r="C73" s="389" t="s">
        <v>160</v>
      </c>
      <c r="D73" s="389" t="s">
        <v>971</v>
      </c>
      <c r="E73" s="389" t="s">
        <v>82</v>
      </c>
      <c r="F73" s="389" t="s">
        <v>972</v>
      </c>
      <c r="G73" s="389" t="s">
        <v>1033</v>
      </c>
      <c r="H73" s="389" t="s">
        <v>1064</v>
      </c>
      <c r="I73" s="389" t="s">
        <v>1065</v>
      </c>
      <c r="J73" s="389" t="s">
        <v>87</v>
      </c>
      <c r="K73" s="389" t="s">
        <v>66</v>
      </c>
      <c r="L73" s="389" t="s">
        <v>121</v>
      </c>
      <c r="M73" s="389" t="s">
        <v>68</v>
      </c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390" t="s">
        <v>73</v>
      </c>
      <c r="AA73" s="391"/>
    </row>
    <row r="74" spans="1:27">
      <c r="A74" s="195">
        <v>72</v>
      </c>
      <c r="B74" s="196" t="s">
        <v>1066</v>
      </c>
      <c r="C74" s="523" t="s">
        <v>1067</v>
      </c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7" t="s">
        <v>110</v>
      </c>
      <c r="AA74" s="198"/>
    </row>
    <row r="75" spans="1:27">
      <c r="A75" s="195">
        <v>73</v>
      </c>
      <c r="B75" s="196" t="s">
        <v>1068</v>
      </c>
      <c r="C75" s="523" t="s">
        <v>1069</v>
      </c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7" t="s">
        <v>110</v>
      </c>
      <c r="AA75" s="198"/>
    </row>
    <row r="76" spans="1:27" s="272" customFormat="1">
      <c r="A76" s="388">
        <v>74</v>
      </c>
      <c r="B76" s="389" t="s">
        <v>1070</v>
      </c>
      <c r="C76" s="389" t="s">
        <v>1071</v>
      </c>
      <c r="D76" s="389" t="s">
        <v>971</v>
      </c>
      <c r="E76" s="389" t="s">
        <v>82</v>
      </c>
      <c r="F76" s="389" t="s">
        <v>972</v>
      </c>
      <c r="G76" s="389" t="s">
        <v>1033</v>
      </c>
      <c r="H76" s="407" t="s">
        <v>1072</v>
      </c>
      <c r="I76" s="389" t="s">
        <v>85</v>
      </c>
      <c r="J76" s="389" t="s">
        <v>87</v>
      </c>
      <c r="K76" s="389" t="s">
        <v>66</v>
      </c>
      <c r="L76" s="389" t="s">
        <v>866</v>
      </c>
      <c r="M76" s="389" t="s">
        <v>68</v>
      </c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390" t="s">
        <v>73</v>
      </c>
      <c r="AA76" s="391"/>
    </row>
    <row r="77" spans="1:27">
      <c r="A77" s="195">
        <v>75</v>
      </c>
      <c r="B77" s="196" t="s">
        <v>1073</v>
      </c>
      <c r="C77" s="253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7" t="s">
        <v>110</v>
      </c>
      <c r="AA77" s="198"/>
    </row>
    <row r="78" spans="1:27">
      <c r="A78" s="195">
        <v>76</v>
      </c>
      <c r="B78" s="196" t="s">
        <v>1074</v>
      </c>
      <c r="C78" s="253" t="s">
        <v>1075</v>
      </c>
      <c r="D78" s="196" t="s">
        <v>92</v>
      </c>
      <c r="E78" s="196" t="s">
        <v>62</v>
      </c>
      <c r="F78" s="196" t="s">
        <v>188</v>
      </c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7" t="s">
        <v>110</v>
      </c>
      <c r="AA78" s="198"/>
    </row>
    <row r="79" spans="1:27">
      <c r="A79" s="195">
        <v>77</v>
      </c>
      <c r="B79" s="196" t="s">
        <v>1076</v>
      </c>
      <c r="C79" s="253" t="s">
        <v>1077</v>
      </c>
      <c r="D79" s="196" t="s">
        <v>92</v>
      </c>
      <c r="E79" s="196" t="s">
        <v>62</v>
      </c>
      <c r="F79" s="196" t="s">
        <v>138</v>
      </c>
      <c r="G79" s="196" t="s">
        <v>983</v>
      </c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7" t="s">
        <v>110</v>
      </c>
      <c r="AA79" s="198"/>
    </row>
    <row r="80" spans="1:27" s="248" customFormat="1">
      <c r="A80" s="195">
        <v>78</v>
      </c>
      <c r="B80" s="196" t="s">
        <v>1078</v>
      </c>
      <c r="C80" s="256" t="s">
        <v>1079</v>
      </c>
      <c r="D80" s="196" t="s">
        <v>61</v>
      </c>
      <c r="E80" s="196" t="s">
        <v>62</v>
      </c>
      <c r="F80" s="196" t="s">
        <v>138</v>
      </c>
      <c r="G80" s="196" t="s">
        <v>864</v>
      </c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7" t="s">
        <v>73</v>
      </c>
      <c r="AA80" s="198"/>
    </row>
    <row r="81" spans="1:27">
      <c r="A81" s="195">
        <v>79</v>
      </c>
      <c r="B81" s="196" t="s">
        <v>1080</v>
      </c>
      <c r="C81" s="253" t="s">
        <v>1081</v>
      </c>
      <c r="D81" s="196" t="s">
        <v>61</v>
      </c>
      <c r="E81" s="196" t="s">
        <v>82</v>
      </c>
      <c r="F81" s="196" t="s">
        <v>83</v>
      </c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7" t="s">
        <v>73</v>
      </c>
      <c r="AA81" s="198"/>
    </row>
    <row r="82" spans="1:27">
      <c r="A82" s="195">
        <v>80</v>
      </c>
      <c r="B82" s="196" t="s">
        <v>1082</v>
      </c>
      <c r="C82" s="253" t="s">
        <v>1083</v>
      </c>
      <c r="D82" s="196" t="s">
        <v>61</v>
      </c>
      <c r="E82" s="196" t="s">
        <v>62</v>
      </c>
      <c r="F82" s="196" t="s">
        <v>215</v>
      </c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7" t="s">
        <v>110</v>
      </c>
      <c r="AA82" s="198"/>
    </row>
    <row r="83" spans="1:27">
      <c r="A83" s="195">
        <v>81</v>
      </c>
      <c r="B83" s="196" t="s">
        <v>1084</v>
      </c>
      <c r="C83" s="253" t="s">
        <v>1085</v>
      </c>
      <c r="D83" s="196" t="s">
        <v>92</v>
      </c>
      <c r="E83" s="196" t="s">
        <v>62</v>
      </c>
      <c r="F83" s="196" t="s">
        <v>188</v>
      </c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7" t="s">
        <v>110</v>
      </c>
      <c r="AA83" s="198"/>
    </row>
    <row r="84" spans="1:27">
      <c r="A84" s="195">
        <v>82</v>
      </c>
      <c r="B84" s="196" t="s">
        <v>1086</v>
      </c>
      <c r="C84" s="253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7" t="s">
        <v>110</v>
      </c>
      <c r="AA84" s="198"/>
    </row>
    <row r="85" spans="1:27" s="248" customFormat="1">
      <c r="A85" s="195">
        <v>83</v>
      </c>
      <c r="B85" s="196" t="s">
        <v>1087</v>
      </c>
      <c r="D85" s="196" t="s">
        <v>81</v>
      </c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7" t="s">
        <v>73</v>
      </c>
      <c r="AA85" s="198"/>
    </row>
    <row r="86" spans="1:27" s="272" customFormat="1">
      <c r="A86" s="388">
        <v>84</v>
      </c>
      <c r="B86" s="389" t="s">
        <v>1088</v>
      </c>
      <c r="C86" s="389" t="s">
        <v>1089</v>
      </c>
      <c r="D86" s="389" t="s">
        <v>971</v>
      </c>
      <c r="E86" s="389" t="s">
        <v>82</v>
      </c>
      <c r="F86" s="389" t="s">
        <v>972</v>
      </c>
      <c r="G86" s="389" t="s">
        <v>1043</v>
      </c>
      <c r="H86" s="389" t="s">
        <v>1090</v>
      </c>
      <c r="I86" s="389" t="s">
        <v>1091</v>
      </c>
      <c r="J86" s="389" t="s">
        <v>87</v>
      </c>
      <c r="K86" s="389" t="s">
        <v>66</v>
      </c>
      <c r="L86" s="389" t="s">
        <v>866</v>
      </c>
      <c r="M86" s="389" t="s">
        <v>68</v>
      </c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390" t="s">
        <v>73</v>
      </c>
      <c r="AA86" s="391"/>
    </row>
    <row r="87" spans="1:27">
      <c r="A87" s="195">
        <v>85</v>
      </c>
      <c r="B87" s="196" t="s">
        <v>1092</v>
      </c>
      <c r="C87" s="253" t="s">
        <v>1093</v>
      </c>
      <c r="D87" s="196" t="s">
        <v>61</v>
      </c>
      <c r="E87" s="196" t="s">
        <v>62</v>
      </c>
      <c r="F87" s="196" t="s">
        <v>145</v>
      </c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7" t="s">
        <v>110</v>
      </c>
      <c r="AA87" s="198"/>
    </row>
    <row r="88" spans="1:27" s="248" customFormat="1">
      <c r="A88" s="195">
        <v>86</v>
      </c>
      <c r="B88" s="196" t="s">
        <v>1094</v>
      </c>
      <c r="C88" s="445" t="s">
        <v>1095</v>
      </c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7" t="s">
        <v>73</v>
      </c>
      <c r="AA88" s="198"/>
    </row>
    <row r="89" spans="1:27">
      <c r="A89" s="195">
        <v>87</v>
      </c>
      <c r="B89" s="196" t="s">
        <v>1096</v>
      </c>
      <c r="C89" s="253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7" t="s">
        <v>73</v>
      </c>
      <c r="AA89" s="198"/>
    </row>
    <row r="90" spans="1:27">
      <c r="A90" s="195">
        <v>88</v>
      </c>
      <c r="B90" s="196" t="s">
        <v>1097</v>
      </c>
      <c r="C90" s="253" t="s">
        <v>663</v>
      </c>
      <c r="D90" s="196" t="s">
        <v>61</v>
      </c>
      <c r="E90" s="196" t="s">
        <v>62</v>
      </c>
      <c r="F90" s="196" t="s">
        <v>138</v>
      </c>
      <c r="G90" s="196" t="s">
        <v>77</v>
      </c>
      <c r="H90" s="196"/>
      <c r="I90" s="196"/>
      <c r="J90" s="196"/>
      <c r="K90" s="196"/>
      <c r="L90" s="196"/>
      <c r="M90" s="196"/>
      <c r="N90" s="196" t="s">
        <v>69</v>
      </c>
      <c r="O90" s="196" t="s">
        <v>69</v>
      </c>
      <c r="P90" s="196" t="s">
        <v>69</v>
      </c>
      <c r="Q90" s="196" t="s">
        <v>69</v>
      </c>
      <c r="R90" s="196" t="s">
        <v>69</v>
      </c>
      <c r="S90" s="196" t="s">
        <v>69</v>
      </c>
      <c r="T90" s="196" t="s">
        <v>69</v>
      </c>
      <c r="U90" s="196" t="s">
        <v>69</v>
      </c>
      <c r="V90" s="196" t="s">
        <v>69</v>
      </c>
      <c r="W90" s="196" t="s">
        <v>69</v>
      </c>
      <c r="X90" s="196" t="s">
        <v>69</v>
      </c>
      <c r="Y90" s="196" t="s">
        <v>69</v>
      </c>
      <c r="Z90" s="197" t="s">
        <v>73</v>
      </c>
      <c r="AA90" s="198"/>
    </row>
    <row r="91" spans="1:27">
      <c r="A91" s="195">
        <v>89</v>
      </c>
      <c r="B91" s="196" t="s">
        <v>1098</v>
      </c>
      <c r="C91" s="253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7" t="s">
        <v>110</v>
      </c>
      <c r="AA91" s="198"/>
    </row>
    <row r="92" spans="1:27" s="248" customFormat="1">
      <c r="A92" s="372">
        <v>90</v>
      </c>
      <c r="B92" s="373" t="s">
        <v>31</v>
      </c>
      <c r="C92" s="446"/>
      <c r="D92" s="373"/>
      <c r="E92" s="373"/>
      <c r="F92" s="196"/>
      <c r="G92" s="373"/>
      <c r="H92" s="373"/>
      <c r="I92" s="373"/>
      <c r="J92" s="373"/>
      <c r="K92" s="373"/>
      <c r="L92" s="373"/>
      <c r="M92" s="373"/>
      <c r="N92" s="404"/>
      <c r="O92" s="404"/>
      <c r="P92" s="404"/>
      <c r="Q92" s="404"/>
      <c r="R92" s="404"/>
      <c r="S92" s="404"/>
      <c r="T92" s="404"/>
      <c r="U92" s="404"/>
      <c r="V92" s="404"/>
      <c r="W92" s="404"/>
      <c r="X92" s="404"/>
      <c r="Y92" s="404"/>
      <c r="Z92" s="197" t="s">
        <v>73</v>
      </c>
      <c r="AA92" s="199"/>
    </row>
    <row r="94" spans="1:27">
      <c r="D94" s="660" t="s">
        <v>122</v>
      </c>
      <c r="E94" s="237" t="s">
        <v>123</v>
      </c>
      <c r="F94" s="238" t="s">
        <v>124</v>
      </c>
      <c r="G94" s="239" t="s">
        <v>125</v>
      </c>
      <c r="H94" s="240" t="s">
        <v>126</v>
      </c>
      <c r="J94" s="660" t="s">
        <v>122</v>
      </c>
      <c r="K94" s="662" t="s">
        <v>127</v>
      </c>
      <c r="L94" s="662"/>
      <c r="M94" s="662" t="s">
        <v>128</v>
      </c>
      <c r="N94" s="663"/>
      <c r="O94" s="663"/>
      <c r="P94" s="663"/>
      <c r="Q94" s="663"/>
      <c r="R94" s="663"/>
      <c r="S94" s="663"/>
      <c r="T94" s="663"/>
      <c r="U94" s="663"/>
      <c r="V94" s="663"/>
      <c r="W94" s="663"/>
      <c r="X94" s="663"/>
      <c r="Y94" s="663"/>
      <c r="Z94" s="664"/>
    </row>
    <row r="95" spans="1:27">
      <c r="D95" s="661"/>
      <c r="E95" s="241">
        <f>COUNTIF($Z$3:$Z$92,DATOS!O2)</f>
        <v>31</v>
      </c>
      <c r="F95" s="241">
        <f>COUNTIF($Z$3:$Z$92,DATOS!O3)</f>
        <v>59</v>
      </c>
      <c r="G95" s="241">
        <f>COUNTIF($Z$7:$Z$92,DATOS!O4)</f>
        <v>0</v>
      </c>
      <c r="H95" s="242">
        <f>SUM(E95:G95)</f>
        <v>90</v>
      </c>
      <c r="J95" s="661"/>
      <c r="K95" s="665">
        <f>COUNTIF(M3:$M$92,DATOS!Q2)</f>
        <v>14</v>
      </c>
      <c r="L95" s="665"/>
      <c r="M95" s="665">
        <f>COUNTIF($M3:$M$92,DATOS!Q3)</f>
        <v>4</v>
      </c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7"/>
    </row>
    <row r="97" spans="4:26" ht="35.25" customHeight="1">
      <c r="D97" s="655" t="s">
        <v>129</v>
      </c>
      <c r="E97" s="196" t="str">
        <f>DATOS!G2</f>
        <v>INALÁMBRICO</v>
      </c>
      <c r="F97" s="196" t="str">
        <f>DATOS!G3</f>
        <v>ALÁMBRICO</v>
      </c>
      <c r="G97" s="243" t="str">
        <f>DATOS!G4</f>
        <v>ALÁMBRICO/INALÁMBRICO</v>
      </c>
      <c r="J97" s="538" t="s">
        <v>130</v>
      </c>
      <c r="K97" s="539"/>
      <c r="L97" s="539"/>
      <c r="M97" s="539"/>
      <c r="N97" s="539"/>
      <c r="O97" s="539"/>
      <c r="P97" s="539"/>
      <c r="Q97" s="539"/>
      <c r="R97" s="539"/>
      <c r="S97" s="539"/>
      <c r="T97" s="539"/>
      <c r="U97" s="539"/>
      <c r="V97" s="539"/>
      <c r="W97" s="539"/>
      <c r="X97" s="539"/>
      <c r="Y97" s="539"/>
      <c r="Z97" s="540"/>
    </row>
    <row r="98" spans="4:26">
      <c r="D98" s="656"/>
      <c r="E98" s="244">
        <f>COUNTIF(J3:$J$92,DATOS!G2)</f>
        <v>7</v>
      </c>
      <c r="F98" s="244">
        <f>COUNTIF($J$3:$J$92,DATOS!G3)</f>
        <v>13</v>
      </c>
      <c r="G98" s="199">
        <f>COUNTIF($J3:$J$92,DATOS!G4)</f>
        <v>0</v>
      </c>
    </row>
  </sheetData>
  <mergeCells count="9">
    <mergeCell ref="D97:D98"/>
    <mergeCell ref="J97:Z97"/>
    <mergeCell ref="A1:AA1"/>
    <mergeCell ref="D94:D95"/>
    <mergeCell ref="J94:J95"/>
    <mergeCell ref="K94:L94"/>
    <mergeCell ref="M94:Z94"/>
    <mergeCell ref="K95:L95"/>
    <mergeCell ref="M95:Z95"/>
  </mergeCells>
  <dataValidations count="1">
    <dataValidation allowBlank="1" showInputMessage="1" showErrorMessage="1" sqref="Q91:Q92 Y3:Y88 Q3:Q88 Y91:Y92" xr:uid="{E61DA09D-91D7-44A7-BE61-D0E5812A40E9}"/>
  </dataValidations>
  <hyperlinks>
    <hyperlink ref="J97" location="RANGO!A1" display="REGRESAR A LA PESTALLA PRINCIPAL" xr:uid="{75531EAD-FF28-4E48-9790-C3B8567D288F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29530C0-8ABB-4D6F-8F97-9F866A00D660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BA1716F6-91AB-47D0-B448-786B3E2EE091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C19163C8-36BD-4732-B8F2-8B1B656CC388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Z3:Z92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AFC36504-021A-4E12-8B00-7C69D5F086A8}">
          <x14:formula1>
            <xm:f>DATOS!$G$2:$G$4</xm:f>
          </x14:formula1>
          <xm:sqref>J3:J92</xm:sqref>
        </x14:dataValidation>
        <x14:dataValidation type="list" allowBlank="1" showInputMessage="1" showErrorMessage="1" xr:uid="{3A055CFC-CC77-4821-AEAB-F7BB9432838A}">
          <x14:formula1>
            <xm:f>DATOS!$I$2:$I$3</xm:f>
          </x14:formula1>
          <xm:sqref>K3:K92</xm:sqref>
        </x14:dataValidation>
        <x14:dataValidation type="list" allowBlank="1" showInputMessage="1" showErrorMessage="1" xr:uid="{47582271-DEE1-4FA3-A2DD-44BEE5911212}">
          <x14:formula1>
            <xm:f>DATOS!$C$2:$C$13</xm:f>
          </x14:formula1>
          <xm:sqref>L3:L54</xm:sqref>
        </x14:dataValidation>
        <x14:dataValidation type="list" allowBlank="1" showInputMessage="1" showErrorMessage="1" xr:uid="{25B2CF35-B8A4-4B52-B81F-B507E122C0AC}">
          <x14:formula1>
            <xm:f>DATOS!$O$2:$O$4</xm:f>
          </x14:formula1>
          <xm:sqref>Z3:Z92</xm:sqref>
        </x14:dataValidation>
        <x14:dataValidation type="list" allowBlank="1" showInputMessage="1" showErrorMessage="1" xr:uid="{B77863F9-B2C7-4ACB-97E3-08A1482405FE}">
          <x14:formula1>
            <xm:f>DATOS!$Q$2:$Q$3</xm:f>
          </x14:formula1>
          <xm:sqref>M3:M92</xm:sqref>
        </x14:dataValidation>
        <x14:dataValidation type="list" allowBlank="1" showInputMessage="1" showErrorMessage="1" xr:uid="{DFED7A9E-BF80-4DEE-9B83-1A8B4F42613E}">
          <x14:formula1>
            <xm:f>DATOS!$C$2:$C$14</xm:f>
          </x14:formula1>
          <xm:sqref>L55:L92</xm:sqref>
        </x14:dataValidation>
        <x14:dataValidation type="list" allowBlank="1" showInputMessage="1" showErrorMessage="1" xr:uid="{776BF89A-A4B1-448C-ABFB-0A3890DF6577}">
          <x14:formula1>
            <xm:f>DATOS!$M$2:$M$3</xm:f>
          </x14:formula1>
          <xm:sqref>E49:E57 E3:E27 E29:E47 E59:E92</xm:sqref>
        </x14:dataValidation>
        <x14:dataValidation type="list" allowBlank="1" showInputMessage="1" showErrorMessage="1" xr:uid="{1843678E-8339-4C91-8452-00A4B86F1D5A}">
          <x14:formula1>
            <xm:f>DATOS!$E$2:$E$8</xm:f>
          </x14:formula1>
          <xm:sqref>D29:D57 D3:D27 D59:D92</xm:sqref>
        </x14:dataValidation>
        <x14:dataValidation type="list" allowBlank="1" showInputMessage="1" showErrorMessage="1" xr:uid="{112FEB89-9F0D-44B2-B6A2-B295BC1EB205}">
          <x14:formula1>
            <xm:f>DATOS!$E$2:$E$7</xm:f>
          </x14:formula1>
          <xm:sqref>D29:D57 D4:D27 D59:D92</xm:sqref>
        </x14:dataValidation>
        <x14:dataValidation type="list" allowBlank="1" showInputMessage="1" showErrorMessage="1" xr:uid="{AC3455B3-B2EC-4483-AE26-E0CD67E5D9A8}">
          <x14:formula1>
            <xm:f>DATOS!$K$2:$K$14</xm:f>
          </x14:formula1>
          <xm:sqref>F55:F57 F23 F49 F59:F92</xm:sqref>
        </x14:dataValidation>
        <x14:dataValidation type="list" allowBlank="1" showInputMessage="1" showErrorMessage="1" xr:uid="{16C85C45-4124-4085-A33E-CF9CFB9B65F2}">
          <x14:formula1>
            <xm:f>DATOS!$R$2:$R$3</xm:f>
          </x14:formula1>
          <xm:sqref>R3:X88 O91:P92 O3:P88 O89:Y90 N3:N92 R91:X92</xm:sqref>
        </x14:dataValidation>
        <x14:dataValidation type="list" allowBlank="1" showInputMessage="1" showErrorMessage="1" xr:uid="{D69406BD-BCD1-48A0-B990-759F7A9ACFF5}">
          <x14:formula1>
            <xm:f>DATOS!$K$2:$K$13</xm:f>
          </x14:formula1>
          <xm:sqref>F3:F27 F29:F47 F49:F55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B646-16AC-4DC9-A932-D8DF759B8722}">
  <dimension ref="A1:R22"/>
  <sheetViews>
    <sheetView workbookViewId="0">
      <selection activeCell="A19" sqref="A19:A20"/>
    </sheetView>
  </sheetViews>
  <sheetFormatPr defaultColWidth="11.42578125" defaultRowHeight="16.5"/>
  <cols>
    <col min="1" max="1" width="11.42578125" style="1"/>
    <col min="2" max="2" width="32" style="1" bestFit="1" customWidth="1"/>
    <col min="3" max="6" width="11.42578125" style="1"/>
    <col min="7" max="7" width="21.85546875" style="1" bestFit="1" customWidth="1"/>
    <col min="8" max="8" width="11.42578125" style="1"/>
    <col min="9" max="9" width="14.42578125" style="1" bestFit="1" customWidth="1"/>
    <col min="10" max="11" width="11.42578125" style="1"/>
    <col min="12" max="12" width="3.28515625" style="1" bestFit="1" customWidth="1"/>
    <col min="13" max="13" width="20.7109375" style="1" bestFit="1" customWidth="1"/>
    <col min="14" max="14" width="3.140625" style="1" bestFit="1" customWidth="1"/>
    <col min="15" max="16384" width="11.42578125" style="1"/>
  </cols>
  <sheetData>
    <row r="1" spans="1:18" ht="23.25">
      <c r="A1" s="4" t="s">
        <v>33</v>
      </c>
      <c r="B1" s="4" t="s">
        <v>1099</v>
      </c>
      <c r="C1" s="4" t="s">
        <v>1100</v>
      </c>
      <c r="D1" s="4" t="s">
        <v>33</v>
      </c>
      <c r="E1" s="4" t="s">
        <v>1101</v>
      </c>
      <c r="F1" s="4" t="s">
        <v>33</v>
      </c>
      <c r="G1" s="4" t="s">
        <v>1102</v>
      </c>
      <c r="H1" s="4" t="s">
        <v>33</v>
      </c>
      <c r="I1" s="4" t="s">
        <v>1103</v>
      </c>
      <c r="J1" s="4" t="s">
        <v>90</v>
      </c>
      <c r="K1" s="4" t="s">
        <v>1104</v>
      </c>
      <c r="L1" s="4" t="s">
        <v>90</v>
      </c>
      <c r="M1" s="9" t="s">
        <v>37</v>
      </c>
      <c r="N1" s="2" t="s">
        <v>90</v>
      </c>
      <c r="O1" s="2" t="s">
        <v>1105</v>
      </c>
      <c r="P1" s="4" t="s">
        <v>90</v>
      </c>
      <c r="Q1" s="9" t="s">
        <v>45</v>
      </c>
      <c r="R1" s="392" t="s">
        <v>1106</v>
      </c>
    </row>
    <row r="2" spans="1:18">
      <c r="A2" s="5">
        <v>1</v>
      </c>
      <c r="B2" s="10" t="s">
        <v>9</v>
      </c>
      <c r="C2" s="6" t="s">
        <v>89</v>
      </c>
      <c r="D2" s="5">
        <v>1</v>
      </c>
      <c r="E2" s="5" t="s">
        <v>81</v>
      </c>
      <c r="F2" s="5">
        <v>1</v>
      </c>
      <c r="G2" s="5" t="s">
        <v>65</v>
      </c>
      <c r="H2" s="5">
        <v>1</v>
      </c>
      <c r="I2" s="5" t="s">
        <v>66</v>
      </c>
      <c r="J2" s="7">
        <v>1</v>
      </c>
      <c r="K2" s="7" t="s">
        <v>215</v>
      </c>
      <c r="L2" s="5">
        <v>1</v>
      </c>
      <c r="M2" s="5" t="s">
        <v>82</v>
      </c>
      <c r="N2" s="3">
        <v>1</v>
      </c>
      <c r="O2" s="3" t="s">
        <v>110</v>
      </c>
      <c r="P2" s="5">
        <v>1</v>
      </c>
      <c r="Q2" s="394" t="s">
        <v>68</v>
      </c>
      <c r="R2" s="393" t="s">
        <v>69</v>
      </c>
    </row>
    <row r="3" spans="1:18" ht="23.25">
      <c r="A3" s="5">
        <v>2</v>
      </c>
      <c r="B3" s="11" t="s">
        <v>1107</v>
      </c>
      <c r="C3" s="6" t="s">
        <v>152</v>
      </c>
      <c r="D3" s="5">
        <v>2</v>
      </c>
      <c r="E3" s="5" t="s">
        <v>61</v>
      </c>
      <c r="F3" s="5">
        <v>2</v>
      </c>
      <c r="G3" s="8" t="s">
        <v>87</v>
      </c>
      <c r="H3" s="5">
        <v>2</v>
      </c>
      <c r="I3" s="5" t="s">
        <v>88</v>
      </c>
      <c r="J3" s="7">
        <v>2</v>
      </c>
      <c r="K3" s="7" t="s">
        <v>151</v>
      </c>
      <c r="L3" s="5">
        <v>2</v>
      </c>
      <c r="M3" s="5" t="s">
        <v>62</v>
      </c>
      <c r="N3" s="3">
        <v>2</v>
      </c>
      <c r="O3" s="3" t="s">
        <v>73</v>
      </c>
      <c r="P3" s="5">
        <v>2</v>
      </c>
      <c r="Q3" s="394" t="s">
        <v>78</v>
      </c>
      <c r="R3" s="393" t="s">
        <v>90</v>
      </c>
    </row>
    <row r="4" spans="1:18" ht="23.25">
      <c r="A4" s="5">
        <v>3</v>
      </c>
      <c r="B4" s="11" t="s">
        <v>1108</v>
      </c>
      <c r="C4" s="6" t="s">
        <v>194</v>
      </c>
      <c r="D4" s="5">
        <v>3</v>
      </c>
      <c r="E4" s="5" t="s">
        <v>92</v>
      </c>
      <c r="F4" s="7"/>
      <c r="G4" s="5" t="s">
        <v>1109</v>
      </c>
      <c r="H4" s="7"/>
      <c r="I4" s="7"/>
      <c r="J4" s="7">
        <v>3</v>
      </c>
      <c r="K4" s="7" t="s">
        <v>120</v>
      </c>
      <c r="N4" s="3">
        <v>3</v>
      </c>
      <c r="O4" s="3" t="s">
        <v>669</v>
      </c>
    </row>
    <row r="5" spans="1:18" ht="23.25">
      <c r="A5" s="5">
        <v>4</v>
      </c>
      <c r="B5" s="11" t="s">
        <v>1110</v>
      </c>
      <c r="C5" s="6" t="s">
        <v>420</v>
      </c>
      <c r="D5" s="5">
        <v>4</v>
      </c>
      <c r="E5" s="5" t="s">
        <v>155</v>
      </c>
      <c r="F5" s="7"/>
      <c r="G5" s="7"/>
      <c r="H5" s="7"/>
      <c r="I5" s="7"/>
      <c r="J5" s="7">
        <v>4</v>
      </c>
      <c r="K5" s="7" t="s">
        <v>145</v>
      </c>
    </row>
    <row r="6" spans="1:18">
      <c r="A6" s="5">
        <v>5</v>
      </c>
      <c r="B6" s="11" t="s">
        <v>1111</v>
      </c>
      <c r="C6" s="6" t="s">
        <v>544</v>
      </c>
      <c r="D6" s="5">
        <v>5</v>
      </c>
      <c r="E6" s="5" t="s">
        <v>105</v>
      </c>
      <c r="F6" s="7"/>
      <c r="G6" s="7"/>
      <c r="H6" s="7"/>
      <c r="I6" s="7"/>
      <c r="J6" s="7">
        <v>5</v>
      </c>
      <c r="K6" s="7" t="s">
        <v>429</v>
      </c>
    </row>
    <row r="7" spans="1:18">
      <c r="A7" s="5">
        <v>6</v>
      </c>
      <c r="B7" s="11" t="s">
        <v>1112</v>
      </c>
      <c r="C7" s="6" t="s">
        <v>121</v>
      </c>
      <c r="D7" s="5">
        <v>6</v>
      </c>
      <c r="E7" s="5" t="s">
        <v>1113</v>
      </c>
      <c r="F7" s="7"/>
      <c r="G7" s="7"/>
      <c r="H7" s="7"/>
      <c r="I7" s="7"/>
      <c r="J7" s="7">
        <v>6</v>
      </c>
      <c r="K7" s="7" t="s">
        <v>188</v>
      </c>
    </row>
    <row r="8" spans="1:18" ht="23.25">
      <c r="A8" s="5">
        <v>7</v>
      </c>
      <c r="B8" s="11" t="s">
        <v>1114</v>
      </c>
      <c r="C8" s="6" t="s">
        <v>67</v>
      </c>
      <c r="D8" s="5">
        <v>7</v>
      </c>
      <c r="E8" s="5" t="s">
        <v>971</v>
      </c>
      <c r="F8" s="7"/>
      <c r="G8" s="7"/>
      <c r="H8" s="7"/>
      <c r="I8" s="7"/>
      <c r="J8" s="7">
        <v>7</v>
      </c>
      <c r="K8" s="7" t="s">
        <v>83</v>
      </c>
    </row>
    <row r="9" spans="1:18">
      <c r="A9" s="5">
        <v>8</v>
      </c>
      <c r="B9" s="11" t="s">
        <v>1115</v>
      </c>
      <c r="C9" s="6" t="s">
        <v>117</v>
      </c>
      <c r="D9" s="7"/>
      <c r="E9" s="7"/>
      <c r="F9" s="7"/>
      <c r="G9" s="7"/>
      <c r="H9" s="7"/>
      <c r="I9" s="7"/>
      <c r="J9" s="7">
        <v>8</v>
      </c>
      <c r="K9" s="7" t="s">
        <v>135</v>
      </c>
    </row>
    <row r="10" spans="1:18">
      <c r="A10" s="5">
        <v>9</v>
      </c>
      <c r="B10" s="11" t="s">
        <v>1116</v>
      </c>
      <c r="C10" s="6" t="s">
        <v>246</v>
      </c>
      <c r="D10" s="7"/>
      <c r="E10" s="7"/>
      <c r="F10" s="7"/>
      <c r="G10" s="7"/>
      <c r="H10" s="7"/>
      <c r="I10" s="7"/>
      <c r="J10" s="7">
        <v>9</v>
      </c>
      <c r="K10" s="7" t="s">
        <v>1117</v>
      </c>
    </row>
    <row r="11" spans="1:18">
      <c r="A11" s="5">
        <v>10</v>
      </c>
      <c r="B11" s="12" t="s">
        <v>1118</v>
      </c>
      <c r="C11" s="6" t="s">
        <v>101</v>
      </c>
      <c r="D11" s="7"/>
      <c r="E11" s="7"/>
      <c r="F11" s="7"/>
      <c r="G11" s="7"/>
      <c r="H11" s="7"/>
      <c r="I11" s="7"/>
      <c r="J11" s="7">
        <v>10</v>
      </c>
      <c r="K11" s="7" t="s">
        <v>138</v>
      </c>
    </row>
    <row r="12" spans="1:18">
      <c r="A12" s="5">
        <v>11</v>
      </c>
      <c r="B12" s="12" t="s">
        <v>1119</v>
      </c>
      <c r="C12" s="6" t="s">
        <v>866</v>
      </c>
      <c r="D12" s="7"/>
      <c r="E12" s="7"/>
      <c r="F12" s="7"/>
      <c r="G12" s="7"/>
      <c r="H12" s="7"/>
      <c r="I12" s="7"/>
      <c r="J12" s="7">
        <v>11</v>
      </c>
      <c r="K12" s="7" t="s">
        <v>1120</v>
      </c>
    </row>
    <row r="13" spans="1:18">
      <c r="A13" s="5">
        <v>12</v>
      </c>
      <c r="B13" s="12" t="s">
        <v>1121</v>
      </c>
      <c r="C13" s="6" t="s">
        <v>1122</v>
      </c>
      <c r="D13" s="7"/>
      <c r="E13" s="7"/>
      <c r="F13" s="7"/>
      <c r="G13" s="7"/>
      <c r="H13" s="7"/>
      <c r="I13" s="7"/>
      <c r="J13" s="7">
        <v>12</v>
      </c>
      <c r="K13" s="7" t="s">
        <v>57</v>
      </c>
    </row>
    <row r="14" spans="1:18">
      <c r="A14" s="5">
        <v>13</v>
      </c>
      <c r="B14" s="12" t="s">
        <v>1123</v>
      </c>
      <c r="C14" s="6" t="s">
        <v>444</v>
      </c>
      <c r="J14" s="7">
        <v>13</v>
      </c>
      <c r="K14" s="7" t="s">
        <v>972</v>
      </c>
    </row>
    <row r="19" spans="2:2">
      <c r="B19" s="256" t="s">
        <v>1124</v>
      </c>
    </row>
    <row r="20" spans="2:2">
      <c r="B20" s="493" t="s">
        <v>1125</v>
      </c>
    </row>
    <row r="21" spans="2:2">
      <c r="B21" s="248" t="s">
        <v>1126</v>
      </c>
    </row>
    <row r="22" spans="2:2">
      <c r="B22" s="272" t="s">
        <v>1127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CEC9-4587-45CE-ADFB-07B82517136A}">
  <dimension ref="C4:D9"/>
  <sheetViews>
    <sheetView topLeftCell="C1" workbookViewId="0">
      <selection activeCell="D16" sqref="D16"/>
    </sheetView>
  </sheetViews>
  <sheetFormatPr defaultColWidth="9.140625" defaultRowHeight="15"/>
  <cols>
    <col min="3" max="3" width="30.28515625" style="273" bestFit="1" customWidth="1"/>
    <col min="4" max="4" width="16" style="274" customWidth="1"/>
  </cols>
  <sheetData>
    <row r="4" spans="3:4">
      <c r="C4" s="275" t="s">
        <v>1128</v>
      </c>
      <c r="D4" s="291" t="s">
        <v>1038</v>
      </c>
    </row>
    <row r="5" spans="3:4">
      <c r="C5" s="276" t="s">
        <v>1129</v>
      </c>
      <c r="D5" s="277" t="s">
        <v>1130</v>
      </c>
    </row>
    <row r="6" spans="3:4">
      <c r="C6" s="276" t="s">
        <v>1131</v>
      </c>
      <c r="D6" s="277" t="s">
        <v>1132</v>
      </c>
    </row>
    <row r="7" spans="3:4">
      <c r="C7" s="276" t="s">
        <v>1133</v>
      </c>
      <c r="D7" s="277" t="s">
        <v>1134</v>
      </c>
    </row>
    <row r="8" spans="3:4">
      <c r="C8" s="276" t="s">
        <v>1135</v>
      </c>
      <c r="D8" s="277" t="s">
        <v>1136</v>
      </c>
    </row>
    <row r="9" spans="3:4">
      <c r="C9" s="278" t="s">
        <v>1137</v>
      </c>
      <c r="D9" s="279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eefb65-2341-45df-8feb-a0cea59d9db9}" enabled="0" method="" siteId="{0aeefb65-2341-45df-8feb-a0cea59d9d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Barrera</dc:creator>
  <cp:keywords/>
  <dc:description/>
  <cp:lastModifiedBy/>
  <cp:revision/>
  <dcterms:created xsi:type="dcterms:W3CDTF">2024-12-04T16:10:24Z</dcterms:created>
  <dcterms:modified xsi:type="dcterms:W3CDTF">2026-04-06T21:37:54Z</dcterms:modified>
  <cp:category/>
  <cp:contentStatus/>
</cp:coreProperties>
</file>