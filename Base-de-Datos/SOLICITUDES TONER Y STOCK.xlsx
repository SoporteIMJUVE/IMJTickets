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juventudgobmx-my.sharepoint.com/personal/evenancio_imjuventud_gob_mx/Documents/Documentos/PROYECTOS IMJUVE/IMPRESORAS/"/>
    </mc:Choice>
  </mc:AlternateContent>
  <xr:revisionPtr revIDLastSave="0" documentId="8_{575FBD06-E260-4C59-979A-DE6EAC1288DA}" xr6:coauthVersionLast="47" xr6:coauthVersionMax="47" xr10:uidLastSave="{00000000-0000-0000-0000-000000000000}"/>
  <bookViews>
    <workbookView xWindow="16212" yWindow="-48" windowWidth="23256" windowHeight="12576" xr2:uid="{3A4EFB20-91B6-41EC-9764-0A16C5D93CEF}"/>
  </bookViews>
  <sheets>
    <sheet name="Hoja2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4" l="1"/>
  <c r="U5" i="14"/>
  <c r="U6" i="14"/>
  <c r="U7" i="14"/>
  <c r="U8" i="14"/>
  <c r="U9" i="14"/>
  <c r="U11" i="14"/>
  <c r="U4" i="14"/>
  <c r="T9" i="14"/>
  <c r="T8" i="14"/>
  <c r="T7" i="14"/>
  <c r="T6" i="14"/>
  <c r="T5" i="14"/>
  <c r="T4" i="14"/>
  <c r="T11" i="14"/>
  <c r="T10" i="14"/>
</calcChain>
</file>

<file path=xl/sharedStrings.xml><?xml version="1.0" encoding="utf-8"?>
<sst xmlns="http://schemas.openxmlformats.org/spreadsheetml/2006/main" count="171" uniqueCount="110">
  <si>
    <t>IMPRESORAS</t>
  </si>
  <si>
    <t>Insumo</t>
  </si>
  <si>
    <t>Insumo Requerido (Mínimo)</t>
  </si>
  <si>
    <t>Insumo Requerido (Maximo)</t>
  </si>
  <si>
    <t>Insumo Total Requerdo)</t>
  </si>
  <si>
    <t xml:space="preserve">Cantidad </t>
  </si>
  <si>
    <t>ESTE MES</t>
  </si>
  <si>
    <t>MARZO</t>
  </si>
  <si>
    <t>NO.</t>
  </si>
  <si>
    <t xml:space="preserve">ÁREA Y UBICACIÓN </t>
  </si>
  <si>
    <t>RESPONSABLE</t>
  </si>
  <si>
    <t>MARCA</t>
  </si>
  <si>
    <t>MODELO</t>
  </si>
  <si>
    <t>FIRMWARE</t>
  </si>
  <si>
    <t>NÚMERO DE SERIE</t>
  </si>
  <si>
    <t>IP</t>
  </si>
  <si>
    <t>UNIDAD DE IMAGEN</t>
  </si>
  <si>
    <t>TONER</t>
  </si>
  <si>
    <t>Tóner Negro (MX22)</t>
  </si>
  <si>
    <t>ORGANO INTERNO DE CONTROL (NAVE)</t>
  </si>
  <si>
    <t>OÑATE SOTO SERGIO RAFAEL</t>
  </si>
  <si>
    <t>LEXMARK</t>
  </si>
  <si>
    <t>MX722</t>
  </si>
  <si>
    <t>MXTGW.230.329</t>
  </si>
  <si>
    <t xml:space="preserve">7464052024ZYY  </t>
  </si>
  <si>
    <t>172.17.1.213</t>
  </si>
  <si>
    <t>Tóner Negro (XM5365)</t>
  </si>
  <si>
    <t>COMUNICACIÓN SOCIAL (NAVE)</t>
  </si>
  <si>
    <t xml:space="preserve">CALLEJA CRUZ RAÚL ALEJANDRO </t>
  </si>
  <si>
    <t xml:space="preserve">7464052023ZTT </t>
  </si>
  <si>
    <t>172.17.1.223</t>
  </si>
  <si>
    <t>Tóner Negro (CX725)</t>
  </si>
  <si>
    <t>ASUNTOS JURIDICOS</t>
  </si>
  <si>
    <t>GRAJALES CANCINO VERÓNICA PAOLA</t>
  </si>
  <si>
    <t>7464052024ZYB</t>
  </si>
  <si>
    <t>172.17.1.226</t>
  </si>
  <si>
    <t>Tóner Amarillo(CX725)</t>
  </si>
  <si>
    <t>RECURSOS HUMANOS Y MATERIALES</t>
  </si>
  <si>
    <t>CÉSAR RODRÍGUEZ MAURICIO</t>
  </si>
  <si>
    <t>172.17.1.217</t>
  </si>
  <si>
    <t>Tóner Magenta(CX725)</t>
  </si>
  <si>
    <t>SUBDIRECCIÓN DE SISTEMAS (SOPORTE)</t>
  </si>
  <si>
    <t>ERICK LARA</t>
  </si>
  <si>
    <t>XM5365</t>
  </si>
  <si>
    <t>74648270207HT</t>
  </si>
  <si>
    <t>172.17.1.234</t>
  </si>
  <si>
    <t>cambio OIC</t>
  </si>
  <si>
    <t>Tóner Cyan(CX725)</t>
  </si>
  <si>
    <t>BIENESTAR Y ESTIMULOS A LA JUVENTUD (NAVE)</t>
  </si>
  <si>
    <t xml:space="preserve">SÁNCHEZ ESPINOSA ALEJANDRA </t>
  </si>
  <si>
    <t>7464913021K6R</t>
  </si>
  <si>
    <t>172.17.1.230</t>
  </si>
  <si>
    <t>Unidad de Imagen</t>
  </si>
  <si>
    <t>SECRETARIA TÉCNICA</t>
  </si>
  <si>
    <t>LIRA ALVAREZ TZAMANI ARELY</t>
  </si>
  <si>
    <t>7464913021K4M</t>
  </si>
  <si>
    <t>172.17.1.228</t>
  </si>
  <si>
    <t>Kit de Mantenimiento</t>
  </si>
  <si>
    <t>FINANZAS</t>
  </si>
  <si>
    <t>LOPEZ MELQUIADES JOSE ALEJANDRO</t>
  </si>
  <si>
    <t xml:space="preserve"> 7464913021K3Y</t>
  </si>
  <si>
    <t>172.17.1.225</t>
  </si>
  <si>
    <t>SUBDIRECCIÓN DE SISTEMAS (RRR)</t>
  </si>
  <si>
    <t>CX725</t>
  </si>
  <si>
    <t>CXTAT.230.329</t>
  </si>
  <si>
    <t>75281060H5Z5Y</t>
  </si>
  <si>
    <t>172.17.1.244</t>
  </si>
  <si>
    <t>RESGUARDO</t>
  </si>
  <si>
    <t>COMUNICACIÓN SOCIAL (DISEÑO)</t>
  </si>
  <si>
    <t>75281060H5Z1L</t>
  </si>
  <si>
    <t>172.17.1.222</t>
  </si>
  <si>
    <t>DIRECCION GENERAL</t>
  </si>
  <si>
    <t>ARELY LIRA</t>
  </si>
  <si>
    <t>CS725</t>
  </si>
  <si>
    <t>CSTAT.081.018</t>
  </si>
  <si>
    <t>50282420H6972</t>
  </si>
  <si>
    <t>172.17.1.206</t>
  </si>
  <si>
    <t>SUMINISTROS</t>
  </si>
  <si>
    <t>1 ERA SOLICITUD 10 DE AGOSTO</t>
  </si>
  <si>
    <t>.</t>
  </si>
  <si>
    <t>2 NDA  SOLICITUD 11 DE SEPTIEMBRE</t>
  </si>
  <si>
    <t>3 ERA  SOLICITUD  DE 23 DE OCTUBRE</t>
  </si>
  <si>
    <t>N° DE PARTE</t>
  </si>
  <si>
    <t>INSUMOS REQUERIDOS 10 /08</t>
  </si>
  <si>
    <t>INSUMOS ENTREGADOS</t>
  </si>
  <si>
    <t>ESTATUS</t>
  </si>
  <si>
    <t>NOTAS</t>
  </si>
  <si>
    <t>Inventario 11/09</t>
  </si>
  <si>
    <t>INSUMOS REQUERIDOS 11/09</t>
  </si>
  <si>
    <t>Inventario 1/10</t>
  </si>
  <si>
    <t>Inventario 23/10</t>
  </si>
  <si>
    <t>INSUMOS REQUERIDOS  23/10</t>
  </si>
  <si>
    <t>TONER MODELO MX722</t>
  </si>
  <si>
    <t>58D4U00</t>
  </si>
  <si>
    <t>se regresa un toner al provedor</t>
  </si>
  <si>
    <t>-</t>
  </si>
  <si>
    <t>Tóner modelo XM5365</t>
  </si>
  <si>
    <t>23b3124</t>
  </si>
  <si>
    <t>PENDIENTE DE ENTREGA</t>
  </si>
  <si>
    <t>Tóner negro modelo CX725</t>
  </si>
  <si>
    <t>74C4HK0</t>
  </si>
  <si>
    <t>---</t>
  </si>
  <si>
    <t>Unidad de Imagen CX725</t>
  </si>
  <si>
    <t>Fusor CX725</t>
  </si>
  <si>
    <t>41X0252</t>
  </si>
  <si>
    <t>Kit de mantenimiento XM5365</t>
  </si>
  <si>
    <t>Tóner color CX725 AMARILLO</t>
  </si>
  <si>
    <t>Tóner color CX725 MAGENTA</t>
  </si>
  <si>
    <t>Tóner color CX725 CYAN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</si>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</sst>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_-* #,##0\ _€_-;\-* #,##0\ _€_-;_-* &quot;-&quot;??\ _€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Noto Sans"/>
      <family val="2"/>
    </font>
    <font>
      <b/>
      <sz val="8"/>
      <color rgb="FFFFFFFF"/>
      <name val="Noto Sans"/>
      <family val="2"/>
    </font>
    <font>
      <b/>
      <sz val="8"/>
      <name val="Noto Sans"/>
      <family val="2"/>
    </font>
    <font>
      <u/>
      <sz val="8"/>
      <color theme="10"/>
      <name val="Noto Sans"/>
      <family val="2"/>
    </font>
    <font>
      <b/>
      <sz val="8"/>
      <color theme="1"/>
      <name val="Noto Sans"/>
      <family val="2"/>
    </font>
    <font>
      <b/>
      <sz val="8"/>
      <color rgb="FF000000"/>
      <name val="Noto Sans"/>
      <family val="2"/>
    </font>
    <font>
      <b/>
      <sz val="11"/>
      <color theme="0"/>
      <name val="Noto Sans"/>
      <family val="2"/>
    </font>
    <font>
      <sz val="11"/>
      <color theme="0"/>
      <name val="Noto Sans"/>
      <family val="2"/>
    </font>
    <font>
      <b/>
      <sz val="11"/>
      <color theme="0" tint="-4.9989318521683403E-2"/>
      <name val="Noto Sans"/>
      <family val="2"/>
    </font>
    <font>
      <b/>
      <sz val="11"/>
      <color theme="1"/>
      <name val="Noto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 tint="-0.49803155613879818"/>
        </stop>
        <stop position="0.5">
          <color rgb="FF660033"/>
        </stop>
        <stop position="1">
          <color theme="0" tint="-0.49803155613879818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660033"/>
        <bgColor auto="1"/>
      </patternFill>
    </fill>
    <fill>
      <patternFill patternType="solid">
        <fgColor rgb="FF0B465B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/>
    <xf numFmtId="164" fontId="5" fillId="4" borderId="0" xfId="0" applyNumberFormat="1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/>
    </xf>
    <xf numFmtId="0" fontId="4" fillId="0" borderId="2" xfId="0" applyFont="1" applyBorder="1"/>
    <xf numFmtId="164" fontId="5" fillId="8" borderId="4" xfId="0" applyNumberFormat="1" applyFont="1" applyFill="1" applyBorder="1" applyAlignment="1">
      <alignment vertical="center" wrapText="1"/>
    </xf>
    <xf numFmtId="0" fontId="4" fillId="7" borderId="0" xfId="0" applyFont="1" applyFill="1"/>
    <xf numFmtId="0" fontId="4" fillId="10" borderId="2" xfId="0" applyFont="1" applyFill="1" applyBorder="1" applyAlignment="1">
      <alignment horizontal="center"/>
    </xf>
    <xf numFmtId="0" fontId="10" fillId="9" borderId="12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4" fillId="9" borderId="0" xfId="0" applyFont="1" applyFill="1"/>
    <xf numFmtId="0" fontId="10" fillId="9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/>
    </xf>
    <xf numFmtId="164" fontId="5" fillId="4" borderId="12" xfId="0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5" fontId="9" fillId="6" borderId="6" xfId="0" applyNumberFormat="1" applyFont="1" applyFill="1" applyBorder="1" applyAlignment="1">
      <alignment horizontal="center" vertical="center"/>
    </xf>
    <xf numFmtId="165" fontId="9" fillId="6" borderId="7" xfId="0" applyNumberFormat="1" applyFont="1" applyFill="1" applyBorder="1" applyAlignment="1">
      <alignment horizontal="center" vertical="center"/>
    </xf>
    <xf numFmtId="165" fontId="9" fillId="6" borderId="8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65" fontId="9" fillId="3" borderId="8" xfId="0" applyNumberFormat="1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 wrapText="1"/>
    </xf>
  </cellXfs>
  <cellStyles count="11">
    <cellStyle name="Hipervínculo" xfId="3" builtinId="8"/>
    <cellStyle name="Millares 2" xfId="1" xr:uid="{AFB18657-C618-486F-AEC5-3F9E177D16F2}"/>
    <cellStyle name="Millares 2 2" xfId="4" xr:uid="{67F42B7A-06D1-42AE-A89F-BCDE11322942}"/>
    <cellStyle name="Millares 2 2 2" xfId="9" xr:uid="{01BADFD8-CF1C-4D91-AD0D-06D44C47ADB6}"/>
    <cellStyle name="Millares 2 3" xfId="7" xr:uid="{C192ED7A-D276-4492-A3BF-C1FD6EDE2916}"/>
    <cellStyle name="Millares 3" xfId="2" xr:uid="{3D64D264-2C58-46FB-B91A-DC1B1F84B497}"/>
    <cellStyle name="Millares 3 2" xfId="8" xr:uid="{3B016CC4-1C7C-4D68-9777-E2C4B4C1126E}"/>
    <cellStyle name="Millares 4" xfId="5" xr:uid="{DB994047-0411-4F96-BDFF-F10DD0927BDE}"/>
    <cellStyle name="Millares 4 2" xfId="10" xr:uid="{89B12184-C1BF-4BB5-8E11-853AA474DDC9}"/>
    <cellStyle name="Millares 5" xfId="6" xr:uid="{F1595BF8-EE85-4325-B7EB-A956DBEF1A67}"/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660033"/>
      <color rgb="FF0B465B"/>
      <color rgb="FFDEA2A2"/>
      <color rgb="FFFF00FF"/>
      <color rgb="FF00FF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72.17.1.244/" TargetMode="External"/><Relationship Id="rId3" Type="http://schemas.openxmlformats.org/officeDocument/2006/relationships/hyperlink" Target="http://172.17.1.226/" TargetMode="External"/><Relationship Id="rId7" Type="http://schemas.openxmlformats.org/officeDocument/2006/relationships/hyperlink" Target="http://172.17.1.231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172.17.1.223/" TargetMode="External"/><Relationship Id="rId1" Type="http://schemas.openxmlformats.org/officeDocument/2006/relationships/hyperlink" Target="http://172.17.1.213/" TargetMode="External"/><Relationship Id="rId6" Type="http://schemas.openxmlformats.org/officeDocument/2006/relationships/hyperlink" Target="http://172.17.1.228/" TargetMode="External"/><Relationship Id="rId11" Type="http://schemas.openxmlformats.org/officeDocument/2006/relationships/hyperlink" Target="http://172.17.1.222/" TargetMode="External"/><Relationship Id="rId5" Type="http://schemas.openxmlformats.org/officeDocument/2006/relationships/hyperlink" Target="http://172.17.1.230/" TargetMode="External"/><Relationship Id="rId10" Type="http://schemas.openxmlformats.org/officeDocument/2006/relationships/hyperlink" Target="http://172.17.1.217/" TargetMode="External"/><Relationship Id="rId4" Type="http://schemas.openxmlformats.org/officeDocument/2006/relationships/hyperlink" Target="http://172.17.1.217/" TargetMode="External"/><Relationship Id="rId9" Type="http://schemas.openxmlformats.org/officeDocument/2006/relationships/hyperlink" Target="http://172.17.1.2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F8AD-BCBB-4DD2-87C1-FC0D1CAAB7D9}">
  <sheetPr>
    <pageSetUpPr fitToPage="1"/>
  </sheetPr>
  <dimension ref="A1:AC31"/>
  <sheetViews>
    <sheetView tabSelected="1" topLeftCell="A4" zoomScale="74" zoomScaleNormal="115" workbookViewId="0">
      <selection activeCell="X8" sqref="X8"/>
    </sheetView>
  </sheetViews>
  <sheetFormatPr defaultColWidth="11.42578125" defaultRowHeight="16.5"/>
  <cols>
    <col min="1" max="1" width="6" style="1" bestFit="1" customWidth="1"/>
    <col min="2" max="6" width="11.42578125" style="1"/>
    <col min="7" max="7" width="27" style="1" bestFit="1" customWidth="1"/>
    <col min="8" max="9" width="11.42578125" style="1"/>
    <col min="10" max="10" width="14" style="1" bestFit="1" customWidth="1"/>
    <col min="11" max="11" width="16.28515625" style="1" bestFit="1" customWidth="1"/>
    <col min="12" max="12" width="19.28515625" style="1" bestFit="1" customWidth="1"/>
    <col min="13" max="13" width="14.140625" style="1" hidden="1" customWidth="1"/>
    <col min="14" max="15" width="0" style="1" hidden="1" customWidth="1"/>
    <col min="16" max="16" width="33" style="1" bestFit="1" customWidth="1"/>
    <col min="17" max="17" width="30.28515625" style="1" customWidth="1"/>
    <col min="18" max="21" width="11.42578125" style="1"/>
    <col min="22" max="22" width="21.140625" style="1" customWidth="1"/>
    <col min="23" max="24" width="17.28515625" style="1" customWidth="1"/>
    <col min="25" max="16384" width="11.42578125" style="1"/>
  </cols>
  <sheetData>
    <row r="1" spans="1:23" ht="6" customHeight="1" thickBot="1"/>
    <row r="2" spans="1:23" ht="20.2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Q2" s="63" t="s">
        <v>1</v>
      </c>
      <c r="R2" s="61" t="s">
        <v>2</v>
      </c>
      <c r="S2" s="61" t="s">
        <v>3</v>
      </c>
      <c r="T2" s="62" t="s">
        <v>4</v>
      </c>
      <c r="U2" s="59" t="s">
        <v>5</v>
      </c>
      <c r="V2" s="27" t="s">
        <v>6</v>
      </c>
      <c r="W2" s="28" t="s">
        <v>7</v>
      </c>
    </row>
    <row r="3" spans="1:23" ht="39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Q3" s="63"/>
      <c r="R3" s="61"/>
      <c r="S3" s="61"/>
      <c r="T3" s="62"/>
      <c r="U3" s="60"/>
      <c r="V3" s="27"/>
      <c r="W3" s="28"/>
    </row>
    <row r="4" spans="1:23" ht="27">
      <c r="A4" s="2" t="s">
        <v>8</v>
      </c>
      <c r="B4" s="49" t="s">
        <v>9</v>
      </c>
      <c r="C4" s="49"/>
      <c r="D4" s="49"/>
      <c r="E4" s="49"/>
      <c r="F4" s="49"/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16</v>
      </c>
      <c r="Q4" s="20" t="s">
        <v>18</v>
      </c>
      <c r="R4" s="21">
        <v>0</v>
      </c>
      <c r="S4" s="21">
        <v>2</v>
      </c>
      <c r="T4" s="24">
        <f>H21+T21+AA21</f>
        <v>2</v>
      </c>
      <c r="U4" s="25">
        <f>S4-T4</f>
        <v>0</v>
      </c>
    </row>
    <row r="5" spans="1:23" ht="19.5" customHeight="1">
      <c r="A5" s="10">
        <v>1</v>
      </c>
      <c r="B5" s="50" t="s">
        <v>19</v>
      </c>
      <c r="C5" s="51"/>
      <c r="D5" s="51"/>
      <c r="E5" s="51"/>
      <c r="F5" s="52"/>
      <c r="G5" s="11" t="s">
        <v>20</v>
      </c>
      <c r="H5" s="3" t="s">
        <v>21</v>
      </c>
      <c r="I5" s="5" t="s">
        <v>22</v>
      </c>
      <c r="J5" s="7" t="s">
        <v>23</v>
      </c>
      <c r="K5" s="5" t="s">
        <v>24</v>
      </c>
      <c r="L5" s="13" t="s">
        <v>25</v>
      </c>
      <c r="M5" s="6"/>
      <c r="N5" s="6"/>
      <c r="O5" s="6"/>
      <c r="Q5" s="20" t="s">
        <v>26</v>
      </c>
      <c r="R5" s="21">
        <v>5</v>
      </c>
      <c r="S5" s="21">
        <v>8</v>
      </c>
      <c r="T5" s="24">
        <f>J22+T22+AA22</f>
        <v>3</v>
      </c>
      <c r="U5" s="25">
        <f t="shared" ref="U5:U11" si="0">S5-T5</f>
        <v>5</v>
      </c>
    </row>
    <row r="6" spans="1:23" ht="19.5">
      <c r="A6" s="10">
        <v>2</v>
      </c>
      <c r="B6" s="50" t="s">
        <v>27</v>
      </c>
      <c r="C6" s="51"/>
      <c r="D6" s="51"/>
      <c r="E6" s="51"/>
      <c r="F6" s="52"/>
      <c r="G6" s="11" t="s">
        <v>28</v>
      </c>
      <c r="H6" s="4" t="s">
        <v>21</v>
      </c>
      <c r="I6" s="5" t="s">
        <v>22</v>
      </c>
      <c r="J6" s="7" t="s">
        <v>23</v>
      </c>
      <c r="K6" s="5" t="s">
        <v>29</v>
      </c>
      <c r="L6" s="13" t="s">
        <v>30</v>
      </c>
      <c r="M6" s="6"/>
      <c r="N6" s="6"/>
      <c r="O6" s="6"/>
      <c r="Q6" s="20" t="s">
        <v>31</v>
      </c>
      <c r="R6" s="21">
        <v>6</v>
      </c>
      <c r="S6" s="21">
        <v>8</v>
      </c>
      <c r="T6" s="24">
        <f>J23+T23+AA23</f>
        <v>4</v>
      </c>
      <c r="U6" s="25">
        <f t="shared" si="0"/>
        <v>4</v>
      </c>
    </row>
    <row r="7" spans="1:23" ht="27">
      <c r="A7" s="10">
        <v>3</v>
      </c>
      <c r="B7" s="44" t="s">
        <v>32</v>
      </c>
      <c r="C7" s="45"/>
      <c r="D7" s="45"/>
      <c r="E7" s="45"/>
      <c r="F7" s="46"/>
      <c r="G7" s="11" t="s">
        <v>33</v>
      </c>
      <c r="H7" s="4" t="s">
        <v>21</v>
      </c>
      <c r="I7" s="5" t="s">
        <v>22</v>
      </c>
      <c r="J7" s="7" t="s">
        <v>23</v>
      </c>
      <c r="K7" s="5" t="s">
        <v>34</v>
      </c>
      <c r="L7" s="13" t="s">
        <v>35</v>
      </c>
      <c r="M7" s="6"/>
      <c r="N7" s="6"/>
      <c r="O7" s="6"/>
      <c r="Q7" s="20" t="s">
        <v>36</v>
      </c>
      <c r="R7" s="21">
        <v>3</v>
      </c>
      <c r="S7" s="21">
        <v>5</v>
      </c>
      <c r="T7" s="24">
        <f>J27+T27+AA27</f>
        <v>3</v>
      </c>
      <c r="U7" s="25">
        <f t="shared" si="0"/>
        <v>2</v>
      </c>
    </row>
    <row r="8" spans="1:23" ht="19.5" customHeight="1">
      <c r="A8" s="10">
        <v>4</v>
      </c>
      <c r="B8" s="41" t="s">
        <v>37</v>
      </c>
      <c r="C8" s="42"/>
      <c r="D8" s="42"/>
      <c r="E8" s="42"/>
      <c r="F8" s="43"/>
      <c r="G8" s="11" t="s">
        <v>38</v>
      </c>
      <c r="H8" s="4" t="s">
        <v>21</v>
      </c>
      <c r="I8" s="5" t="s">
        <v>22</v>
      </c>
      <c r="J8" s="7" t="s">
        <v>23</v>
      </c>
      <c r="K8" s="8">
        <v>7464052024027</v>
      </c>
      <c r="L8" s="13" t="s">
        <v>39</v>
      </c>
      <c r="M8" s="6"/>
      <c r="N8" s="6"/>
      <c r="O8" s="6"/>
      <c r="Q8" s="20" t="s">
        <v>40</v>
      </c>
      <c r="R8" s="21">
        <v>3</v>
      </c>
      <c r="S8" s="21">
        <v>5</v>
      </c>
      <c r="T8" s="24">
        <f>J28+T28+AA28</f>
        <v>4</v>
      </c>
      <c r="U8" s="25">
        <f t="shared" si="0"/>
        <v>1</v>
      </c>
    </row>
    <row r="9" spans="1:23" ht="19.5">
      <c r="A9" s="10">
        <v>5</v>
      </c>
      <c r="B9" s="44" t="s">
        <v>41</v>
      </c>
      <c r="C9" s="45"/>
      <c r="D9" s="45"/>
      <c r="E9" s="45"/>
      <c r="F9" s="46"/>
      <c r="G9" s="11" t="s">
        <v>42</v>
      </c>
      <c r="H9" s="4" t="s">
        <v>21</v>
      </c>
      <c r="I9" s="5" t="s">
        <v>43</v>
      </c>
      <c r="J9" s="7" t="s">
        <v>23</v>
      </c>
      <c r="K9" s="9" t="s">
        <v>44</v>
      </c>
      <c r="L9" s="13" t="s">
        <v>45</v>
      </c>
      <c r="M9" s="6"/>
      <c r="N9" s="6"/>
      <c r="O9" s="6"/>
      <c r="P9" s="1" t="s">
        <v>46</v>
      </c>
      <c r="Q9" s="20" t="s">
        <v>47</v>
      </c>
      <c r="R9" s="21">
        <v>3</v>
      </c>
      <c r="S9" s="21">
        <v>5</v>
      </c>
      <c r="T9" s="24">
        <f>J29+T29+AA29</f>
        <v>2</v>
      </c>
      <c r="U9" s="25">
        <f t="shared" si="0"/>
        <v>3</v>
      </c>
    </row>
    <row r="10" spans="1:23" ht="19.5">
      <c r="A10" s="10">
        <v>6</v>
      </c>
      <c r="B10" s="35" t="s">
        <v>48</v>
      </c>
      <c r="C10" s="36"/>
      <c r="D10" s="36"/>
      <c r="E10" s="36"/>
      <c r="F10" s="37"/>
      <c r="G10" s="11" t="s">
        <v>49</v>
      </c>
      <c r="H10" s="4" t="s">
        <v>21</v>
      </c>
      <c r="I10" s="5" t="s">
        <v>43</v>
      </c>
      <c r="J10" s="7" t="s">
        <v>23</v>
      </c>
      <c r="K10" s="5" t="s">
        <v>50</v>
      </c>
      <c r="L10" s="13" t="s">
        <v>51</v>
      </c>
      <c r="M10" s="6"/>
      <c r="N10" s="6"/>
      <c r="O10" s="6"/>
      <c r="Q10" s="20" t="s">
        <v>52</v>
      </c>
      <c r="R10" s="21">
        <v>5</v>
      </c>
      <c r="S10" s="21">
        <v>7</v>
      </c>
      <c r="T10" s="24">
        <f>J24+T24+AA24</f>
        <v>1</v>
      </c>
      <c r="U10" s="25">
        <f>S10-T10</f>
        <v>6</v>
      </c>
    </row>
    <row r="11" spans="1:23" ht="20.25" thickBot="1">
      <c r="A11" s="10">
        <v>7</v>
      </c>
      <c r="B11" s="38" t="s">
        <v>53</v>
      </c>
      <c r="C11" s="39"/>
      <c r="D11" s="39"/>
      <c r="E11" s="39"/>
      <c r="F11" s="40"/>
      <c r="G11" s="11" t="s">
        <v>54</v>
      </c>
      <c r="H11" s="4" t="s">
        <v>21</v>
      </c>
      <c r="I11" s="5" t="s">
        <v>43</v>
      </c>
      <c r="J11" s="7" t="s">
        <v>23</v>
      </c>
      <c r="K11" s="5" t="s">
        <v>55</v>
      </c>
      <c r="L11" s="13" t="s">
        <v>56</v>
      </c>
      <c r="M11" s="6"/>
      <c r="N11" s="6"/>
      <c r="O11" s="6"/>
      <c r="Q11" s="20" t="s">
        <v>57</v>
      </c>
      <c r="R11" s="21">
        <v>7</v>
      </c>
      <c r="S11" s="21">
        <v>8</v>
      </c>
      <c r="T11" s="24">
        <f>J26+J25+T25+T26+AA25+AA26</f>
        <v>2</v>
      </c>
      <c r="U11" s="26">
        <f t="shared" si="0"/>
        <v>6</v>
      </c>
    </row>
    <row r="12" spans="1:23" ht="27">
      <c r="A12" s="10">
        <v>8</v>
      </c>
      <c r="B12" s="41" t="s">
        <v>58</v>
      </c>
      <c r="C12" s="42"/>
      <c r="D12" s="42"/>
      <c r="E12" s="42"/>
      <c r="F12" s="43"/>
      <c r="G12" s="11" t="s">
        <v>59</v>
      </c>
      <c r="H12" s="4" t="s">
        <v>21</v>
      </c>
      <c r="I12" s="5" t="s">
        <v>43</v>
      </c>
      <c r="J12" s="7" t="s">
        <v>23</v>
      </c>
      <c r="K12" s="5" t="s">
        <v>60</v>
      </c>
      <c r="L12" s="13" t="s">
        <v>61</v>
      </c>
      <c r="M12" s="6"/>
      <c r="N12" s="6"/>
      <c r="O12" s="6"/>
    </row>
    <row r="13" spans="1:23">
      <c r="A13" s="10">
        <v>9</v>
      </c>
      <c r="B13" s="44" t="s">
        <v>62</v>
      </c>
      <c r="C13" s="45"/>
      <c r="D13" s="45"/>
      <c r="E13" s="45"/>
      <c r="F13" s="46"/>
      <c r="G13" s="11" t="s">
        <v>38</v>
      </c>
      <c r="H13" s="4" t="s">
        <v>21</v>
      </c>
      <c r="I13" s="5" t="s">
        <v>63</v>
      </c>
      <c r="J13" s="7" t="s">
        <v>64</v>
      </c>
      <c r="K13" s="5" t="s">
        <v>65</v>
      </c>
      <c r="L13" s="13" t="s">
        <v>66</v>
      </c>
      <c r="M13" s="6"/>
      <c r="N13" s="6"/>
      <c r="O13" s="6"/>
      <c r="P13" s="1" t="s">
        <v>67</v>
      </c>
    </row>
    <row r="14" spans="1:23">
      <c r="A14" s="10">
        <v>10</v>
      </c>
      <c r="B14" s="44" t="s">
        <v>68</v>
      </c>
      <c r="C14" s="45"/>
      <c r="D14" s="45"/>
      <c r="E14" s="45"/>
      <c r="F14" s="46"/>
      <c r="G14" s="12" t="s">
        <v>28</v>
      </c>
      <c r="H14" s="4" t="s">
        <v>21</v>
      </c>
      <c r="I14" s="5" t="s">
        <v>63</v>
      </c>
      <c r="J14" s="7" t="s">
        <v>64</v>
      </c>
      <c r="K14" s="5" t="s">
        <v>69</v>
      </c>
      <c r="L14" s="13" t="s">
        <v>70</v>
      </c>
      <c r="M14" s="6"/>
      <c r="N14" s="6"/>
      <c r="O14" s="6"/>
    </row>
    <row r="15" spans="1:23">
      <c r="A15" s="10">
        <v>11</v>
      </c>
      <c r="B15" s="35" t="s">
        <v>71</v>
      </c>
      <c r="C15" s="36"/>
      <c r="D15" s="36"/>
      <c r="E15" s="36"/>
      <c r="F15" s="37"/>
      <c r="G15" s="12" t="s">
        <v>72</v>
      </c>
      <c r="H15" s="4" t="s">
        <v>21</v>
      </c>
      <c r="I15" s="5" t="s">
        <v>73</v>
      </c>
      <c r="J15" s="7" t="s">
        <v>74</v>
      </c>
      <c r="K15" s="5" t="s">
        <v>75</v>
      </c>
      <c r="L15" s="13" t="s">
        <v>76</v>
      </c>
    </row>
    <row r="17" spans="1:29" ht="16.5" customHeight="1">
      <c r="A17" s="47" t="s">
        <v>77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1:29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spans="1:29" s="16" customFormat="1" ht="16.5" customHeight="1">
      <c r="A19" s="15"/>
      <c r="B19" s="15"/>
      <c r="C19" s="15"/>
      <c r="D19" s="15"/>
      <c r="E19" s="15"/>
      <c r="F19" s="15"/>
      <c r="G19" s="15"/>
      <c r="H19" s="64" t="s">
        <v>78</v>
      </c>
      <c r="I19" s="64"/>
      <c r="J19" s="64"/>
      <c r="K19" s="64"/>
      <c r="L19" s="64"/>
      <c r="M19" s="64"/>
      <c r="N19" s="64"/>
      <c r="O19" s="64"/>
      <c r="P19" s="64"/>
      <c r="Q19" s="22" t="s">
        <v>79</v>
      </c>
      <c r="R19" s="33" t="s">
        <v>80</v>
      </c>
      <c r="S19" s="33"/>
      <c r="T19" s="33"/>
      <c r="U19" s="33"/>
      <c r="V19" s="33"/>
      <c r="W19" s="22" t="s">
        <v>79</v>
      </c>
      <c r="X19" s="22" t="s">
        <v>79</v>
      </c>
      <c r="Y19" s="33" t="s">
        <v>81</v>
      </c>
      <c r="Z19" s="33"/>
      <c r="AA19" s="33"/>
      <c r="AB19" s="33"/>
      <c r="AC19" s="33"/>
    </row>
    <row r="20" spans="1:29" ht="39">
      <c r="A20" s="2" t="s">
        <v>8</v>
      </c>
      <c r="B20" s="49" t="s">
        <v>9</v>
      </c>
      <c r="C20" s="49"/>
      <c r="D20" s="49"/>
      <c r="E20" s="49"/>
      <c r="F20" s="49"/>
      <c r="G20" s="2" t="s">
        <v>82</v>
      </c>
      <c r="H20" s="34" t="s">
        <v>83</v>
      </c>
      <c r="I20" s="34"/>
      <c r="J20" s="34" t="s">
        <v>84</v>
      </c>
      <c r="K20" s="34"/>
      <c r="L20" s="2" t="s">
        <v>85</v>
      </c>
      <c r="M20" s="2" t="s">
        <v>16</v>
      </c>
      <c r="P20" s="2" t="s">
        <v>86</v>
      </c>
      <c r="Q20" s="23" t="s">
        <v>87</v>
      </c>
      <c r="R20" s="34" t="s">
        <v>88</v>
      </c>
      <c r="S20" s="34"/>
      <c r="T20" s="34" t="s">
        <v>84</v>
      </c>
      <c r="U20" s="34"/>
      <c r="V20" s="2" t="s">
        <v>85</v>
      </c>
      <c r="W20" s="23" t="s">
        <v>89</v>
      </c>
      <c r="X20" s="18" t="s">
        <v>90</v>
      </c>
      <c r="Y20" s="34" t="s">
        <v>91</v>
      </c>
      <c r="Z20" s="34"/>
      <c r="AA20" s="34" t="s">
        <v>84</v>
      </c>
      <c r="AB20" s="34"/>
      <c r="AC20" s="2" t="s">
        <v>85</v>
      </c>
    </row>
    <row r="21" spans="1:29">
      <c r="A21" s="10">
        <v>1</v>
      </c>
      <c r="B21" s="53" t="s">
        <v>92</v>
      </c>
      <c r="C21" s="54"/>
      <c r="D21" s="54"/>
      <c r="E21" s="54"/>
      <c r="F21" s="55"/>
      <c r="G21" s="11" t="s">
        <v>93</v>
      </c>
      <c r="H21" s="29">
        <v>2</v>
      </c>
      <c r="I21" s="30"/>
      <c r="J21" s="31">
        <v>3</v>
      </c>
      <c r="K21" s="32"/>
      <c r="L21" s="5" t="s">
        <v>67</v>
      </c>
      <c r="P21" s="14" t="s">
        <v>94</v>
      </c>
      <c r="Q21" s="17">
        <v>1</v>
      </c>
      <c r="R21" s="29">
        <v>0</v>
      </c>
      <c r="S21" s="30"/>
      <c r="T21" s="31">
        <v>0</v>
      </c>
      <c r="U21" s="32"/>
      <c r="V21" s="5" t="s">
        <v>67</v>
      </c>
      <c r="W21" s="17">
        <v>1</v>
      </c>
      <c r="X21" s="19">
        <v>0</v>
      </c>
      <c r="Y21" s="29">
        <v>0</v>
      </c>
      <c r="Z21" s="30"/>
      <c r="AA21" s="31">
        <v>0</v>
      </c>
      <c r="AB21" s="32"/>
      <c r="AC21" s="5" t="s">
        <v>95</v>
      </c>
    </row>
    <row r="22" spans="1:29" ht="16.5" customHeight="1">
      <c r="A22" s="10">
        <v>2</v>
      </c>
      <c r="B22" s="56" t="s">
        <v>96</v>
      </c>
      <c r="C22" s="57"/>
      <c r="D22" s="57"/>
      <c r="E22" s="57"/>
      <c r="F22" s="58"/>
      <c r="G22" s="11" t="s">
        <v>97</v>
      </c>
      <c r="H22" s="29">
        <v>2</v>
      </c>
      <c r="I22" s="30"/>
      <c r="J22" s="31"/>
      <c r="K22" s="32"/>
      <c r="L22" s="5" t="s">
        <v>98</v>
      </c>
      <c r="P22" s="14">
        <v>1</v>
      </c>
      <c r="Q22" s="17">
        <v>0</v>
      </c>
      <c r="R22" s="29">
        <v>1</v>
      </c>
      <c r="S22" s="30"/>
      <c r="T22" s="31">
        <v>1</v>
      </c>
      <c r="U22" s="32"/>
      <c r="V22" s="5" t="s">
        <v>67</v>
      </c>
      <c r="W22" s="17">
        <v>1</v>
      </c>
      <c r="X22" s="19">
        <v>1</v>
      </c>
      <c r="Y22" s="29">
        <v>2</v>
      </c>
      <c r="Z22" s="30"/>
      <c r="AA22" s="31">
        <v>2</v>
      </c>
      <c r="AB22" s="32"/>
      <c r="AC22" s="5" t="s">
        <v>67</v>
      </c>
    </row>
    <row r="23" spans="1:29" ht="16.5" customHeight="1">
      <c r="A23" s="10">
        <v>3</v>
      </c>
      <c r="B23" s="53" t="s">
        <v>99</v>
      </c>
      <c r="C23" s="54"/>
      <c r="D23" s="54"/>
      <c r="E23" s="54"/>
      <c r="F23" s="55"/>
      <c r="G23" s="11" t="s">
        <v>100</v>
      </c>
      <c r="H23" s="29">
        <v>2</v>
      </c>
      <c r="I23" s="30"/>
      <c r="J23" s="31">
        <v>2</v>
      </c>
      <c r="K23" s="32"/>
      <c r="L23" s="5" t="s">
        <v>67</v>
      </c>
      <c r="P23" s="14"/>
      <c r="Q23" s="17">
        <v>0</v>
      </c>
      <c r="R23" s="29">
        <v>2</v>
      </c>
      <c r="S23" s="30"/>
      <c r="T23" s="31">
        <v>2</v>
      </c>
      <c r="U23" s="32"/>
      <c r="V23" s="5" t="s">
        <v>67</v>
      </c>
      <c r="W23" s="17" t="s">
        <v>101</v>
      </c>
      <c r="X23" s="19">
        <v>2</v>
      </c>
      <c r="Y23" s="29">
        <v>0</v>
      </c>
      <c r="Z23" s="30"/>
      <c r="AA23" s="31">
        <v>0</v>
      </c>
      <c r="AB23" s="32"/>
      <c r="AC23" s="5" t="s">
        <v>95</v>
      </c>
    </row>
    <row r="24" spans="1:29" ht="16.5" customHeight="1">
      <c r="A24" s="10">
        <v>4</v>
      </c>
      <c r="B24" s="53" t="s">
        <v>102</v>
      </c>
      <c r="C24" s="54"/>
      <c r="D24" s="54"/>
      <c r="E24" s="54"/>
      <c r="F24" s="55"/>
      <c r="G24" s="11"/>
      <c r="H24" s="29">
        <v>1</v>
      </c>
      <c r="I24" s="30"/>
      <c r="J24" s="31">
        <v>1</v>
      </c>
      <c r="K24" s="32"/>
      <c r="L24" s="5" t="s">
        <v>67</v>
      </c>
      <c r="P24" s="14"/>
      <c r="Q24" s="17"/>
      <c r="R24" s="29">
        <v>0</v>
      </c>
      <c r="S24" s="30"/>
      <c r="T24" s="31">
        <v>0</v>
      </c>
      <c r="U24" s="32"/>
      <c r="V24" s="5" t="s">
        <v>67</v>
      </c>
      <c r="W24" s="17"/>
      <c r="X24" s="19">
        <v>1</v>
      </c>
      <c r="Y24" s="29">
        <v>0</v>
      </c>
      <c r="Z24" s="30"/>
      <c r="AA24" s="31">
        <v>0</v>
      </c>
      <c r="AB24" s="32"/>
      <c r="AC24" s="5" t="s">
        <v>95</v>
      </c>
    </row>
    <row r="25" spans="1:29" ht="16.5" customHeight="1">
      <c r="A25" s="10">
        <v>5</v>
      </c>
      <c r="B25" s="53" t="s">
        <v>103</v>
      </c>
      <c r="C25" s="54"/>
      <c r="D25" s="54"/>
      <c r="E25" s="54"/>
      <c r="F25" s="55"/>
      <c r="G25" s="11" t="s">
        <v>104</v>
      </c>
      <c r="H25" s="29">
        <v>1</v>
      </c>
      <c r="I25" s="30"/>
      <c r="J25" s="31">
        <v>1</v>
      </c>
      <c r="K25" s="32"/>
      <c r="L25" s="5" t="s">
        <v>67</v>
      </c>
      <c r="P25" s="14"/>
      <c r="Q25" s="17"/>
      <c r="R25" s="29">
        <v>0</v>
      </c>
      <c r="S25" s="30"/>
      <c r="T25" s="31">
        <v>0</v>
      </c>
      <c r="U25" s="32"/>
      <c r="V25" s="5" t="s">
        <v>67</v>
      </c>
      <c r="W25" s="17"/>
      <c r="X25" s="19">
        <v>0</v>
      </c>
      <c r="Y25" s="29">
        <v>0</v>
      </c>
      <c r="Z25" s="30"/>
      <c r="AA25" s="31">
        <v>0</v>
      </c>
      <c r="AB25" s="32"/>
      <c r="AC25" s="5" t="s">
        <v>95</v>
      </c>
    </row>
    <row r="26" spans="1:29" ht="16.5" customHeight="1">
      <c r="A26" s="10">
        <v>6</v>
      </c>
      <c r="B26" s="53" t="s">
        <v>105</v>
      </c>
      <c r="C26" s="54"/>
      <c r="D26" s="54"/>
      <c r="E26" s="54"/>
      <c r="F26" s="55"/>
      <c r="G26" s="11"/>
      <c r="H26" s="29">
        <v>1</v>
      </c>
      <c r="I26" s="30"/>
      <c r="J26" s="31">
        <v>1</v>
      </c>
      <c r="K26" s="32"/>
      <c r="L26" s="5" t="s">
        <v>67</v>
      </c>
      <c r="P26" s="14"/>
      <c r="Q26" s="17"/>
      <c r="R26" s="29">
        <v>0</v>
      </c>
      <c r="S26" s="30"/>
      <c r="T26" s="31">
        <v>0</v>
      </c>
      <c r="U26" s="32"/>
      <c r="V26" s="5" t="s">
        <v>67</v>
      </c>
      <c r="W26" s="17"/>
      <c r="X26" s="19">
        <v>0</v>
      </c>
      <c r="Y26" s="29">
        <v>0</v>
      </c>
      <c r="Z26" s="30"/>
      <c r="AA26" s="31">
        <v>0</v>
      </c>
      <c r="AB26" s="32"/>
      <c r="AC26" s="5" t="s">
        <v>95</v>
      </c>
    </row>
    <row r="27" spans="1:29" ht="16.5" customHeight="1">
      <c r="A27" s="10">
        <v>7</v>
      </c>
      <c r="B27" s="53" t="s">
        <v>106</v>
      </c>
      <c r="C27" s="54"/>
      <c r="D27" s="54"/>
      <c r="E27" s="54"/>
      <c r="F27" s="55"/>
      <c r="G27" s="11"/>
      <c r="H27" s="29">
        <v>2</v>
      </c>
      <c r="I27" s="30"/>
      <c r="J27" s="31">
        <v>2</v>
      </c>
      <c r="K27" s="32"/>
      <c r="L27" s="5" t="s">
        <v>67</v>
      </c>
      <c r="P27" s="14"/>
      <c r="Q27" s="17">
        <v>2</v>
      </c>
      <c r="R27" s="29">
        <v>0</v>
      </c>
      <c r="S27" s="30"/>
      <c r="T27" s="31">
        <v>0</v>
      </c>
      <c r="U27" s="32"/>
      <c r="V27" s="5" t="s">
        <v>67</v>
      </c>
      <c r="W27" s="17">
        <v>2</v>
      </c>
      <c r="X27" s="19">
        <v>2</v>
      </c>
      <c r="Y27" s="29">
        <v>1</v>
      </c>
      <c r="Z27" s="30"/>
      <c r="AA27" s="31">
        <v>1</v>
      </c>
      <c r="AB27" s="32"/>
      <c r="AC27" s="5" t="s">
        <v>67</v>
      </c>
    </row>
    <row r="28" spans="1:29" ht="16.5" customHeight="1">
      <c r="A28" s="10">
        <v>8</v>
      </c>
      <c r="B28" s="53" t="s">
        <v>107</v>
      </c>
      <c r="C28" s="54"/>
      <c r="D28" s="54"/>
      <c r="E28" s="54"/>
      <c r="F28" s="55"/>
      <c r="G28" s="11"/>
      <c r="H28" s="29">
        <v>2</v>
      </c>
      <c r="I28" s="30"/>
      <c r="J28" s="31">
        <v>2</v>
      </c>
      <c r="K28" s="32"/>
      <c r="L28" s="5" t="s">
        <v>67</v>
      </c>
      <c r="P28" s="14"/>
      <c r="Q28" s="17">
        <v>1</v>
      </c>
      <c r="R28" s="29">
        <v>0</v>
      </c>
      <c r="S28" s="30"/>
      <c r="T28" s="31">
        <v>0</v>
      </c>
      <c r="U28" s="32"/>
      <c r="V28" s="5" t="s">
        <v>67</v>
      </c>
      <c r="W28" s="17">
        <v>1</v>
      </c>
      <c r="X28" s="19">
        <v>0</v>
      </c>
      <c r="Y28" s="29">
        <v>2</v>
      </c>
      <c r="Z28" s="30"/>
      <c r="AA28" s="31">
        <v>2</v>
      </c>
      <c r="AB28" s="32"/>
      <c r="AC28" s="5" t="s">
        <v>67</v>
      </c>
    </row>
    <row r="29" spans="1:29" ht="16.5" customHeight="1">
      <c r="A29" s="10">
        <v>9</v>
      </c>
      <c r="B29" s="53" t="s">
        <v>108</v>
      </c>
      <c r="C29" s="54"/>
      <c r="D29" s="54"/>
      <c r="E29" s="54"/>
      <c r="F29" s="55"/>
      <c r="G29" s="11"/>
      <c r="H29" s="29">
        <v>2</v>
      </c>
      <c r="I29" s="30"/>
      <c r="J29" s="31">
        <v>2</v>
      </c>
      <c r="K29" s="32"/>
      <c r="L29" s="5" t="s">
        <v>67</v>
      </c>
      <c r="P29" s="14"/>
      <c r="Q29" s="17">
        <v>3</v>
      </c>
      <c r="R29" s="29">
        <v>0</v>
      </c>
      <c r="S29" s="30"/>
      <c r="T29" s="31">
        <v>0</v>
      </c>
      <c r="U29" s="32"/>
      <c r="V29" s="5" t="s">
        <v>67</v>
      </c>
      <c r="W29" s="17">
        <v>3</v>
      </c>
      <c r="X29" s="19">
        <v>2</v>
      </c>
      <c r="Y29" s="29">
        <v>0</v>
      </c>
      <c r="Z29" s="30"/>
      <c r="AA29" s="31">
        <v>0</v>
      </c>
      <c r="AB29" s="32"/>
      <c r="AC29" s="5">
        <v>0</v>
      </c>
    </row>
    <row r="31" spans="1:29">
      <c r="H31" s="28" t="s">
        <v>109</v>
      </c>
      <c r="I31" s="28"/>
    </row>
  </sheetData>
  <mergeCells count="95">
    <mergeCell ref="U2:U3"/>
    <mergeCell ref="H31:I31"/>
    <mergeCell ref="R2:R3"/>
    <mergeCell ref="S2:S3"/>
    <mergeCell ref="T2:T3"/>
    <mergeCell ref="Q2:Q3"/>
    <mergeCell ref="H19:P19"/>
    <mergeCell ref="R29:S29"/>
    <mergeCell ref="T29:U29"/>
    <mergeCell ref="R19:V19"/>
    <mergeCell ref="A17:P18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B28:F28"/>
    <mergeCell ref="H28:I28"/>
    <mergeCell ref="J28:K28"/>
    <mergeCell ref="B29:F29"/>
    <mergeCell ref="H29:I29"/>
    <mergeCell ref="J29:K29"/>
    <mergeCell ref="B26:F26"/>
    <mergeCell ref="H26:I26"/>
    <mergeCell ref="J26:K26"/>
    <mergeCell ref="B27:F27"/>
    <mergeCell ref="H27:I27"/>
    <mergeCell ref="J27:K27"/>
    <mergeCell ref="B24:F24"/>
    <mergeCell ref="H24:I24"/>
    <mergeCell ref="J24:K24"/>
    <mergeCell ref="B25:F25"/>
    <mergeCell ref="H25:I25"/>
    <mergeCell ref="J25:K25"/>
    <mergeCell ref="B22:F22"/>
    <mergeCell ref="H22:I22"/>
    <mergeCell ref="J22:K22"/>
    <mergeCell ref="B23:F23"/>
    <mergeCell ref="H23:I23"/>
    <mergeCell ref="J23:K23"/>
    <mergeCell ref="B15:F15"/>
    <mergeCell ref="B20:F20"/>
    <mergeCell ref="B21:F21"/>
    <mergeCell ref="H20:I20"/>
    <mergeCell ref="J20:K20"/>
    <mergeCell ref="H21:I21"/>
    <mergeCell ref="J21:K21"/>
    <mergeCell ref="A2:M3"/>
    <mergeCell ref="B4:F4"/>
    <mergeCell ref="B7:F7"/>
    <mergeCell ref="B8:F8"/>
    <mergeCell ref="B9:F9"/>
    <mergeCell ref="B5:F5"/>
    <mergeCell ref="B6:F6"/>
    <mergeCell ref="B10:F10"/>
    <mergeCell ref="B11:F11"/>
    <mergeCell ref="B12:F12"/>
    <mergeCell ref="B13:F13"/>
    <mergeCell ref="B14:F14"/>
    <mergeCell ref="Y24:Z24"/>
    <mergeCell ref="AA24:AB24"/>
    <mergeCell ref="Y19:AC19"/>
    <mergeCell ref="Y20:Z20"/>
    <mergeCell ref="AA20:AB20"/>
    <mergeCell ref="Y21:Z21"/>
    <mergeCell ref="AA21:AB21"/>
    <mergeCell ref="V2:V3"/>
    <mergeCell ref="W2:W3"/>
    <mergeCell ref="Y28:Z28"/>
    <mergeCell ref="AA28:AB28"/>
    <mergeCell ref="Y29:Z29"/>
    <mergeCell ref="AA29:AB29"/>
    <mergeCell ref="Y25:Z25"/>
    <mergeCell ref="AA25:AB25"/>
    <mergeCell ref="Y26:Z26"/>
    <mergeCell ref="AA26:AB26"/>
    <mergeCell ref="Y27:Z27"/>
    <mergeCell ref="AA27:AB27"/>
    <mergeCell ref="Y22:Z22"/>
    <mergeCell ref="AA22:AB22"/>
    <mergeCell ref="Y23:Z23"/>
    <mergeCell ref="AA23:AB23"/>
  </mergeCells>
  <phoneticPr fontId="3" type="noConversion"/>
  <conditionalFormatting sqref="A1:XFD2 A3:T3 X3:XFD3 A19:H19 Q19:XFD19 A20:XFD1048576 A4:XFD18">
    <cfRule type="containsBlanks" dxfId="0" priority="1">
      <formula>LEN(TRIM(A1))=0</formula>
    </cfRule>
  </conditionalFormatting>
  <hyperlinks>
    <hyperlink ref="L5" r:id="rId1" xr:uid="{BEB4630B-466C-4F90-8247-D759E22BDCCF}"/>
    <hyperlink ref="L6" r:id="rId2" xr:uid="{F3A1A5E8-9E77-4869-988F-D817BF800C49}"/>
    <hyperlink ref="L7" r:id="rId3" xr:uid="{0369A6EF-38C3-437F-9572-FBEDB390C067}"/>
    <hyperlink ref="L9" r:id="rId4" display="172.17.1.217" xr:uid="{06FC49D8-A362-4EA9-993D-98A4D35640C8}"/>
    <hyperlink ref="L10" r:id="rId5" xr:uid="{8417099C-7615-4D21-A551-BDA8EE5DE9DF}"/>
    <hyperlink ref="L11" r:id="rId6" xr:uid="{E1BCBDB7-C6C9-4AB1-85E8-7DF2345314DA}"/>
    <hyperlink ref="L12" r:id="rId7" display="172.17.1.231" xr:uid="{AD7C374F-69E2-463A-A9F9-E29256809938}"/>
    <hyperlink ref="L13" r:id="rId8" xr:uid="{31440132-8C60-417D-9DD2-FBF85783084C}"/>
    <hyperlink ref="L14" r:id="rId9" xr:uid="{CCDF36F6-AA1A-46D0-BD97-F0A6723C95CB}"/>
    <hyperlink ref="L8" r:id="rId10" xr:uid="{39E2F53C-2049-4689-93A1-B673B2BBEC08}"/>
    <hyperlink ref="L15" r:id="rId11" display="172.17.1.222" xr:uid="{D45F58BB-5472-4914-9B86-C1E34B681803}"/>
  </hyperlinks>
  <pageMargins left="0.7" right="0.7" top="0.75" bottom="0.75" header="0.3" footer="0.3"/>
  <pageSetup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Barrera</dc:creator>
  <cp:keywords/>
  <dc:description/>
  <cp:lastModifiedBy/>
  <cp:revision/>
  <dcterms:created xsi:type="dcterms:W3CDTF">2023-11-15T00:14:35Z</dcterms:created>
  <dcterms:modified xsi:type="dcterms:W3CDTF">2026-02-23T20:52:04Z</dcterms:modified>
  <cp:category/>
  <cp:contentStatus/>
</cp:coreProperties>
</file>